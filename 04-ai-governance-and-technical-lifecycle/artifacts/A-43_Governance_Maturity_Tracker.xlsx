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9A46910E-ABD4-4BF5-B6D9-F7D80E6928B8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README" sheetId="1" r:id="rId1"/>
    <sheet name="VERSION-CONTROL" sheetId="2" r:id="rId2"/>
    <sheet name="TRACKER" sheetId="3" r:id="rId3"/>
    <sheet name="CONSTRAINTS" sheetId="4" r:id="rId4"/>
    <sheet name="AC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3" l="1"/>
  <c r="B26" i="3"/>
  <c r="B25" i="3"/>
  <c r="B24" i="3"/>
  <c r="B23" i="3"/>
  <c r="B22" i="3"/>
</calcChain>
</file>

<file path=xl/sharedStrings.xml><?xml version="1.0" encoding="utf-8"?>
<sst xmlns="http://schemas.openxmlformats.org/spreadsheetml/2006/main" count="173" uniqueCount="139">
  <si>
    <t>Governance Maturity Tracker</t>
  </si>
  <si>
    <t>Credit Decisioning Assistant — Artefact A-43 | Hybrid architecture: deterministic scoring layer + RAG narration layer</t>
  </si>
  <si>
    <t>Field</t>
  </si>
  <si>
    <t>Detail</t>
  </si>
  <si>
    <t>Purpose</t>
  </si>
  <si>
    <t>Tracks AI governance maturity across fifteen dimensions on a quarterly trajectory rather than as a point-in-time score. Distinct from A-06, which is the completed self-assessment; this artefact carries the movement between assessments and the constraints on how fast it can move.</t>
  </si>
  <si>
    <t>Why separate from A-06</t>
  </si>
  <si>
    <t>A self-assessment answers where we are. A tracker answers whether we are moving, at what rate, and what is structurally preventing movement. Reporting a single score to the Board without the trajectory invites the assumption that maturity improves with effort, which is not true of dimensions requiring evidence over multiple cycles.</t>
  </si>
  <si>
    <t>Scoring</t>
  </si>
  <si>
    <t>0 Absent, 1 Initial, 2 Developing, 3 Defined, 4 Managed, 5 Optimised. Scored against evidence, not intent.</t>
  </si>
  <si>
    <t>Cadence</t>
  </si>
  <si>
    <t>Re-scored quarterly at the Periodic Responsible Model Review. Reported to the AIGC each quarter and to the Board annually.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</si>
  <si>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</si>
  <si>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</si>
  <si>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</si>
  <si>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</si>
  <si>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</si>
  <si>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</si>
  <si>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</si>
  <si>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</si>
  <si>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2026-09-10</t>
  </si>
  <si>
    <t>AI Governance Lead</t>
  </si>
  <si>
    <t>Risk</t>
  </si>
  <si>
    <t>AIGC</t>
  </si>
  <si>
    <t>Draft</t>
  </si>
  <si>
    <t>Established at the ninety-day mark following the first completed self-assessment</t>
  </si>
  <si>
    <t>Q3-2026 is the baseline. Target is the position expected at the next annual assessment, not an aspiration.</t>
  </si>
  <si>
    <t>Ref</t>
  </si>
  <si>
    <t>Dimension</t>
  </si>
  <si>
    <t>Q3-2026</t>
  </si>
  <si>
    <t>Target</t>
  </si>
  <si>
    <t>Trajectory</t>
  </si>
  <si>
    <t>Commentary</t>
  </si>
  <si>
    <t>D1</t>
  </si>
  <si>
    <t>Leadership and accountability</t>
  </si>
  <si>
    <t>Stable</t>
  </si>
  <si>
    <t>Structure exercised, including a gate block. No movement expected or needed</t>
  </si>
  <si>
    <t>D2</t>
  </si>
  <si>
    <t>Policy framework</t>
  </si>
  <si>
    <t>Improving</t>
  </si>
  <si>
    <t>Overlap between three acceptable-use policies resolved at v2.0. Operation over time not yet evidenced</t>
  </si>
  <si>
    <t>D3</t>
  </si>
  <si>
    <t>AI inventory and discovery</t>
  </si>
  <si>
    <t>Static</t>
  </si>
  <si>
    <t>Embedded AI found retrospectively. Discovery is reactive — the binding constraint on this dimension</t>
  </si>
  <si>
    <t>D4</t>
  </si>
  <si>
    <t>Risk management</t>
  </si>
  <si>
    <t>Applied fully to one system; appetite calibrated to that system rather than a portfolio</t>
  </si>
  <si>
    <t>D5</t>
  </si>
  <si>
    <t>Data governance</t>
  </si>
  <si>
    <t>Metadata purpose declaration now mandatory. Control exists because minimisation failed at first design</t>
  </si>
  <si>
    <t>D6</t>
  </si>
  <si>
    <t>Fairness and bias assurance</t>
  </si>
  <si>
    <t>Strongest dimension in method. Testing remains partly synthetic; live-sample cycle incomplete</t>
  </si>
  <si>
    <t>D7</t>
  </si>
  <si>
    <t>Model lifecycle management</t>
  </si>
  <si>
    <t>Deteriorating</t>
  </si>
  <si>
    <t>Three quarterly verification criteria currently overdue. Cadence defined and not being met</t>
  </si>
  <si>
    <t>D8</t>
  </si>
  <si>
    <t>Control implementation and testing</t>
  </si>
  <si>
    <t>Effectiveness coverage at 71%. One control constrained by regional unavailability</t>
  </si>
  <si>
    <t>D9</t>
  </si>
  <si>
    <t>Human oversight</t>
  </si>
  <si>
    <t>Two-sided band operating. One reviewer correctly blocked pending attestation</t>
  </si>
  <si>
    <t>D10</t>
  </si>
  <si>
    <t>Transparency and recourse</t>
  </si>
  <si>
    <t>Route exists, untested against a real contested decision. Untested procedures score 2</t>
  </si>
  <si>
    <t>D11</t>
  </si>
  <si>
    <t>Monitoring and incident response</t>
  </si>
  <si>
    <t>Two quarterly cycles complete. Insufficient history for trend judgement</t>
  </si>
  <si>
    <t>D12</t>
  </si>
  <si>
    <t>Independent assurance</t>
  </si>
  <si>
    <t>Internal Audit has not completed a pass. Binding constraint on the credibility of every other score</t>
  </si>
  <si>
    <t>D13</t>
  </si>
  <si>
    <t>Vendor and third-party management</t>
  </si>
  <si>
    <t>A vendor was actually rejected on a disclosure failure, which evidences the checklist is applied</t>
  </si>
  <si>
    <t>D14</t>
  </si>
  <si>
    <t>Skills and literacy</t>
  </si>
  <si>
    <t>Competency recorded and version-bound. Workforce-wide annual cycle incomplete</t>
  </si>
  <si>
    <t>D15</t>
  </si>
  <si>
    <t>Decommissioning and retention</t>
  </si>
  <si>
    <t>Plan sound and entirely untested. No retrieval test has run</t>
  </si>
  <si>
    <t>Summary</t>
  </si>
  <si>
    <t>Dimensions tracked</t>
  </si>
  <si>
    <t>Mean current score</t>
  </si>
  <si>
    <t>Mean target</t>
  </si>
  <si>
    <t>D7 is the only dimension deteriorating, and it is deteriorating through inaction rather than event: three model-selection verification criteria passed their due date and were not re-run. Shown as overdue rather than quietly refreshed, because the overdue state is the finding.</t>
  </si>
  <si>
    <t>Maturity above Defined generally requires evidence of operation over multiple cycles. Effort does not compress time.</t>
  </si>
  <si>
    <t>Constraint type</t>
  </si>
  <si>
    <t>Dimensions</t>
  </si>
  <si>
    <t>Why it caps</t>
  </si>
  <si>
    <t>Path to target</t>
  </si>
  <si>
    <t>Time-bound</t>
  </si>
  <si>
    <t>D2, D4, D11</t>
  </si>
  <si>
    <t>Dimensions requiring evidence of repeated operation cannot exceed Defined until multiple cycles have run</t>
  </si>
  <si>
    <t>Not remediable by effort. Reaches target through elapsed cycles</t>
  </si>
  <si>
    <t>Portfolio-bound</t>
  </si>
  <si>
    <t>D3, D4</t>
  </si>
  <si>
    <t>Portfolio dimensions cannot exceed Defined while only one system has completed the lifecycle. A framework proven once is proven once</t>
  </si>
  <si>
    <t>Reaches target at the second and third governed system</t>
  </si>
  <si>
    <t>Capacity-bound</t>
  </si>
  <si>
    <t>Independent assurance depends on Internal Audit capacity outside the governance function's control</t>
  </si>
  <si>
    <t>Requires audit plan commitment. Escalated to Board Audit Committee</t>
  </si>
  <si>
    <t>Evidence-bound</t>
  </si>
  <si>
    <t>D10, D15</t>
  </si>
  <si>
    <t>Procedures that have never been exercised score 2 regardless of design quality</t>
  </si>
  <si>
    <t>Reaches target on first real use, or on a live-fire exercise</t>
  </si>
  <si>
    <t>Structural</t>
  </si>
  <si>
    <t>Discovery depends on people reporting AI they encounter. No monitoring metric detects unregistered AI</t>
  </si>
  <si>
    <t>Requires a systematic discovery sweep plus a vendor notification obligation</t>
  </si>
  <si>
    <t>Every dimension at 2 or below carries a named action. A dimension with a gap and no action is an observation.</t>
  </si>
  <si>
    <t>Movement</t>
  </si>
  <si>
    <t>Action</t>
  </si>
  <si>
    <t>Owner</t>
  </si>
  <si>
    <t>Rationale</t>
  </si>
  <si>
    <t>1 → 3</t>
  </si>
  <si>
    <t>Commission a third-line pass over the framework and one full system control set</t>
  </si>
  <si>
    <t>Chief Audit Executive</t>
  </si>
  <si>
    <t>2027-Q1</t>
  </si>
  <si>
    <t>Highest priority — converts self-reported assurance into tested assurance</t>
  </si>
  <si>
    <t>2 → 4</t>
  </si>
  <si>
    <t>Systematic discovery sweep for embedded AI in third-party products; recurring vendor notification requirement</t>
  </si>
  <si>
    <t>2026-Q4</t>
  </si>
  <si>
    <t>An inventory depending on someone noticing is not an inventory</t>
  </si>
  <si>
    <t>Clear the three overdue verification criteria; automate the due-date alert rather than relying on the review meeting</t>
  </si>
  <si>
    <t>Process gap, not design gap</t>
  </si>
  <si>
    <t>Live-fire test of the recourse route with a constructed case before the first real contest</t>
  </si>
  <si>
    <t>Head of Compliance</t>
  </si>
  <si>
    <t>An untested procedure is a hypothesis</t>
  </si>
  <si>
    <t>Complete the first full annual workforce literacy cycle and report completion rate</t>
  </si>
  <si>
    <t>HR with AI-CoE</t>
  </si>
  <si>
    <t>Art.4 obligation is continuous, not one-off</t>
  </si>
  <si>
    <t>2 → 3</t>
  </si>
  <si>
    <t>Run the first annual archive retrieval test against live evidence storage</t>
  </si>
  <si>
    <t>Closes the open audit-retrievability risk</t>
  </si>
  <si>
    <t>Version and Approval History</t>
  </si>
  <si>
    <t>Maturity By Dimension - Baseline And Trajectory</t>
  </si>
  <si>
    <t>What Caps Movement</t>
  </si>
  <si>
    <t>Remediation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</si>
</sst>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i/>
      <sz val="9"/>
      <color rgb="FF9C000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E2EFDA"/>
      </patternFill>
    </fill>
    <fill>
      <patternFill patternType="solid">
        <fgColor rgb="FFDEEAF6"/>
        <bgColor rgb="FFE2EFDA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12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s="18" customFormat="1" x14ac:dyDescent="0.3">
      <c r="A4" s="17" t="s">
        <v>2</v>
      </c>
      <c r="B4" s="17" t="s">
        <v>3</v>
      </c>
    </row>
    <row r="5" spans="1:2" ht="49.5" customHeight="1" x14ac:dyDescent="0.3">
      <c r="A5" s="3" t="s">
        <v>4</v>
      </c>
      <c r="B5" s="4" t="s">
        <v>5</v>
      </c>
    </row>
    <row r="6" spans="1:2" ht="49.5" customHeight="1" x14ac:dyDescent="0.3">
      <c r="A6" s="3" t="s">
        <v>6</v>
      </c>
      <c r="B6" s="4" t="s">
        <v>7</v>
      </c>
    </row>
    <row r="7" spans="1:2" ht="49.5" customHeight="1" x14ac:dyDescent="0.3">
      <c r="A7" s="3" t="s">
        <v>8</v>
      </c>
      <c r="B7" s="4" t="s">
        <v>9</v>
      </c>
    </row>
    <row r="8" spans="1:2" ht="49.5" customHeight="1" x14ac:dyDescent="0.3">
      <c r="A8" s="3" t="s">
        <v>10</v>
      </c>
      <c r="B8" s="4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62" customWidth="1"/>
  </cols>
  <sheetData>
    <row r="1" spans="1:7" ht="17.399999999999999" x14ac:dyDescent="0.3">
      <c r="A1" s="1" t="s">
        <v>135</v>
      </c>
    </row>
    <row r="4" spans="1:7" s="18" customFormat="1" x14ac:dyDescent="0.3">
      <c r="A4" s="17" t="s">
        <v>12</v>
      </c>
      <c r="B4" s="17" t="s">
        <v>13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</row>
    <row r="5" spans="1:7" ht="33.7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8.6640625" defaultRowHeight="14.4" x14ac:dyDescent="0.3"/>
  <cols>
    <col min="1" max="1" width="8" customWidth="1"/>
    <col min="2" max="2" width="34" customWidth="1"/>
    <col min="3" max="4" width="10" customWidth="1"/>
    <col min="5" max="5" width="16" customWidth="1"/>
    <col min="6" max="6" width="72" customWidth="1"/>
  </cols>
  <sheetData>
    <row r="1" spans="1:6" ht="17.399999999999999" x14ac:dyDescent="0.3">
      <c r="A1" s="1" t="s">
        <v>136</v>
      </c>
    </row>
    <row r="2" spans="1:6" x14ac:dyDescent="0.3">
      <c r="A2" s="2" t="s">
        <v>26</v>
      </c>
    </row>
    <row r="4" spans="1:6" s="18" customFormat="1" x14ac:dyDescent="0.3">
      <c r="A4" s="17" t="s">
        <v>27</v>
      </c>
      <c r="B4" s="17" t="s">
        <v>28</v>
      </c>
      <c r="C4" s="17" t="s">
        <v>29</v>
      </c>
      <c r="D4" s="17" t="s">
        <v>30</v>
      </c>
      <c r="E4" s="17" t="s">
        <v>31</v>
      </c>
      <c r="F4" s="17" t="s">
        <v>32</v>
      </c>
    </row>
    <row r="5" spans="1:6" ht="39.75" customHeight="1" x14ac:dyDescent="0.3">
      <c r="A5" s="5" t="s">
        <v>33</v>
      </c>
      <c r="B5" s="4" t="s">
        <v>34</v>
      </c>
      <c r="C5" s="6">
        <v>4</v>
      </c>
      <c r="D5" s="6">
        <v>4</v>
      </c>
      <c r="E5" s="7" t="s">
        <v>35</v>
      </c>
      <c r="F5" s="4" t="s">
        <v>36</v>
      </c>
    </row>
    <row r="6" spans="1:6" ht="39.75" customHeight="1" x14ac:dyDescent="0.3">
      <c r="A6" s="8" t="s">
        <v>37</v>
      </c>
      <c r="B6" s="4" t="s">
        <v>38</v>
      </c>
      <c r="C6" s="9">
        <v>3</v>
      </c>
      <c r="D6" s="9">
        <v>4</v>
      </c>
      <c r="E6" s="5" t="s">
        <v>39</v>
      </c>
      <c r="F6" s="4" t="s">
        <v>40</v>
      </c>
    </row>
    <row r="7" spans="1:6" ht="39.75" customHeight="1" x14ac:dyDescent="0.3">
      <c r="A7" s="7" t="s">
        <v>41</v>
      </c>
      <c r="B7" s="4" t="s">
        <v>42</v>
      </c>
      <c r="C7" s="10">
        <v>2</v>
      </c>
      <c r="D7" s="10">
        <v>4</v>
      </c>
      <c r="E7" s="7" t="s">
        <v>43</v>
      </c>
      <c r="F7" s="4" t="s">
        <v>44</v>
      </c>
    </row>
    <row r="8" spans="1:6" ht="39.75" customHeight="1" x14ac:dyDescent="0.3">
      <c r="A8" s="8" t="s">
        <v>45</v>
      </c>
      <c r="B8" s="4" t="s">
        <v>46</v>
      </c>
      <c r="C8" s="9">
        <v>3</v>
      </c>
      <c r="D8" s="9">
        <v>4</v>
      </c>
      <c r="E8" s="5" t="s">
        <v>39</v>
      </c>
      <c r="F8" s="4" t="s">
        <v>47</v>
      </c>
    </row>
    <row r="9" spans="1:6" ht="39.75" customHeight="1" x14ac:dyDescent="0.3">
      <c r="A9" s="8" t="s">
        <v>48</v>
      </c>
      <c r="B9" s="4" t="s">
        <v>49</v>
      </c>
      <c r="C9" s="9">
        <v>3</v>
      </c>
      <c r="D9" s="9">
        <v>4</v>
      </c>
      <c r="E9" s="5" t="s">
        <v>39</v>
      </c>
      <c r="F9" s="4" t="s">
        <v>50</v>
      </c>
    </row>
    <row r="10" spans="1:6" ht="39.75" customHeight="1" x14ac:dyDescent="0.3">
      <c r="A10" s="8" t="s">
        <v>51</v>
      </c>
      <c r="B10" s="4" t="s">
        <v>52</v>
      </c>
      <c r="C10" s="9">
        <v>3</v>
      </c>
      <c r="D10" s="9">
        <v>4</v>
      </c>
      <c r="E10" s="5" t="s">
        <v>39</v>
      </c>
      <c r="F10" s="4" t="s">
        <v>53</v>
      </c>
    </row>
    <row r="11" spans="1:6" ht="39.75" customHeight="1" x14ac:dyDescent="0.3">
      <c r="A11" s="7" t="s">
        <v>54</v>
      </c>
      <c r="B11" s="4" t="s">
        <v>55</v>
      </c>
      <c r="C11" s="10">
        <v>2</v>
      </c>
      <c r="D11" s="10">
        <v>4</v>
      </c>
      <c r="E11" s="11" t="s">
        <v>56</v>
      </c>
      <c r="F11" s="4" t="s">
        <v>57</v>
      </c>
    </row>
    <row r="12" spans="1:6" ht="39.75" customHeight="1" x14ac:dyDescent="0.3">
      <c r="A12" s="8" t="s">
        <v>58</v>
      </c>
      <c r="B12" s="4" t="s">
        <v>59</v>
      </c>
      <c r="C12" s="9">
        <v>3</v>
      </c>
      <c r="D12" s="9">
        <v>4</v>
      </c>
      <c r="E12" s="7" t="s">
        <v>35</v>
      </c>
      <c r="F12" s="4" t="s">
        <v>60</v>
      </c>
    </row>
    <row r="13" spans="1:6" ht="39.75" customHeight="1" x14ac:dyDescent="0.3">
      <c r="A13" s="8" t="s">
        <v>61</v>
      </c>
      <c r="B13" s="4" t="s">
        <v>62</v>
      </c>
      <c r="C13" s="9">
        <v>3</v>
      </c>
      <c r="D13" s="9">
        <v>4</v>
      </c>
      <c r="E13" s="7" t="s">
        <v>35</v>
      </c>
      <c r="F13" s="4" t="s">
        <v>63</v>
      </c>
    </row>
    <row r="14" spans="1:6" ht="39.75" customHeight="1" x14ac:dyDescent="0.3">
      <c r="A14" s="7" t="s">
        <v>64</v>
      </c>
      <c r="B14" s="4" t="s">
        <v>65</v>
      </c>
      <c r="C14" s="10">
        <v>2</v>
      </c>
      <c r="D14" s="10">
        <v>4</v>
      </c>
      <c r="E14" s="7" t="s">
        <v>43</v>
      </c>
      <c r="F14" s="4" t="s">
        <v>66</v>
      </c>
    </row>
    <row r="15" spans="1:6" ht="39.75" customHeight="1" x14ac:dyDescent="0.3">
      <c r="A15" s="8" t="s">
        <v>67</v>
      </c>
      <c r="B15" s="4" t="s">
        <v>68</v>
      </c>
      <c r="C15" s="9">
        <v>3</v>
      </c>
      <c r="D15" s="9">
        <v>4</v>
      </c>
      <c r="E15" s="5" t="s">
        <v>39</v>
      </c>
      <c r="F15" s="4" t="s">
        <v>69</v>
      </c>
    </row>
    <row r="16" spans="1:6" ht="39.75" customHeight="1" x14ac:dyDescent="0.3">
      <c r="A16" s="11" t="s">
        <v>70</v>
      </c>
      <c r="B16" s="4" t="s">
        <v>71</v>
      </c>
      <c r="C16" s="12">
        <v>1</v>
      </c>
      <c r="D16" s="12">
        <v>3</v>
      </c>
      <c r="E16" s="7" t="s">
        <v>43</v>
      </c>
      <c r="F16" s="4" t="s">
        <v>72</v>
      </c>
    </row>
    <row r="17" spans="1:6" ht="39.75" customHeight="1" x14ac:dyDescent="0.3">
      <c r="A17" s="8" t="s">
        <v>73</v>
      </c>
      <c r="B17" s="4" t="s">
        <v>74</v>
      </c>
      <c r="C17" s="9">
        <v>3</v>
      </c>
      <c r="D17" s="9">
        <v>4</v>
      </c>
      <c r="E17" s="7" t="s">
        <v>35</v>
      </c>
      <c r="F17" s="4" t="s">
        <v>75</v>
      </c>
    </row>
    <row r="18" spans="1:6" ht="39.75" customHeight="1" x14ac:dyDescent="0.3">
      <c r="A18" s="7" t="s">
        <v>76</v>
      </c>
      <c r="B18" s="4" t="s">
        <v>77</v>
      </c>
      <c r="C18" s="10">
        <v>2</v>
      </c>
      <c r="D18" s="10">
        <v>4</v>
      </c>
      <c r="E18" s="5" t="s">
        <v>39</v>
      </c>
      <c r="F18" s="4" t="s">
        <v>78</v>
      </c>
    </row>
    <row r="19" spans="1:6" ht="39.75" customHeight="1" x14ac:dyDescent="0.3">
      <c r="A19" s="7" t="s">
        <v>79</v>
      </c>
      <c r="B19" s="4" t="s">
        <v>80</v>
      </c>
      <c r="C19" s="10">
        <v>2</v>
      </c>
      <c r="D19" s="10">
        <v>3</v>
      </c>
      <c r="E19" s="7" t="s">
        <v>43</v>
      </c>
      <c r="F19" s="4" t="s">
        <v>81</v>
      </c>
    </row>
    <row r="21" spans="1:6" x14ac:dyDescent="0.3">
      <c r="A21" s="13" t="s">
        <v>82</v>
      </c>
    </row>
    <row r="22" spans="1:6" x14ac:dyDescent="0.3">
      <c r="A22" s="14" t="s">
        <v>83</v>
      </c>
      <c r="B22" s="15">
        <f>COUNTA(A5:A19)</f>
        <v>15</v>
      </c>
    </row>
    <row r="23" spans="1:6" x14ac:dyDescent="0.3">
      <c r="A23" s="14" t="s">
        <v>84</v>
      </c>
      <c r="B23" s="15">
        <f>ROUND(AVERAGE(C5:C19),1)</f>
        <v>2.6</v>
      </c>
    </row>
    <row r="24" spans="1:6" x14ac:dyDescent="0.3">
      <c r="A24" s="14" t="s">
        <v>85</v>
      </c>
      <c r="B24" s="15">
        <f>ROUND(AVERAGE(D5:D19),1)</f>
        <v>3.9</v>
      </c>
    </row>
    <row r="25" spans="1:6" x14ac:dyDescent="0.3">
      <c r="A25" s="14" t="s">
        <v>39</v>
      </c>
      <c r="B25" s="15">
        <f>COUNTIF(E5:E19,"Improving")</f>
        <v>6</v>
      </c>
    </row>
    <row r="26" spans="1:6" x14ac:dyDescent="0.3">
      <c r="A26" s="14" t="s">
        <v>43</v>
      </c>
      <c r="B26" s="15">
        <f>COUNTIF(E5:E19,"Static")</f>
        <v>4</v>
      </c>
    </row>
    <row r="27" spans="1:6" x14ac:dyDescent="0.3">
      <c r="A27" s="14" t="s">
        <v>56</v>
      </c>
      <c r="B27" s="15">
        <f>COUNTIF(E5:E19,"Deteriorating")</f>
        <v>1</v>
      </c>
    </row>
    <row r="29" spans="1:6" x14ac:dyDescent="0.3">
      <c r="A29" s="16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8" customWidth="1"/>
    <col min="2" max="2" width="16" customWidth="1"/>
    <col min="3" max="3" width="58" customWidth="1"/>
    <col min="4" max="4" width="52" customWidth="1"/>
  </cols>
  <sheetData>
    <row r="1" spans="1:4" ht="17.399999999999999" x14ac:dyDescent="0.3">
      <c r="A1" s="1" t="s">
        <v>137</v>
      </c>
    </row>
    <row r="2" spans="1:4" x14ac:dyDescent="0.3">
      <c r="A2" s="2" t="s">
        <v>87</v>
      </c>
    </row>
    <row r="4" spans="1:4" x14ac:dyDescent="0.3">
      <c r="A4" s="17" t="s">
        <v>88</v>
      </c>
      <c r="B4" s="17" t="s">
        <v>89</v>
      </c>
      <c r="C4" s="17" t="s">
        <v>90</v>
      </c>
      <c r="D4" s="17" t="s">
        <v>91</v>
      </c>
    </row>
    <row r="5" spans="1:4" ht="48" customHeight="1" x14ac:dyDescent="0.3">
      <c r="A5" s="4" t="s">
        <v>92</v>
      </c>
      <c r="B5" s="4" t="s">
        <v>93</v>
      </c>
      <c r="C5" s="4" t="s">
        <v>94</v>
      </c>
      <c r="D5" s="4" t="s">
        <v>95</v>
      </c>
    </row>
    <row r="6" spans="1:4" ht="48" customHeight="1" x14ac:dyDescent="0.3">
      <c r="A6" s="4" t="s">
        <v>96</v>
      </c>
      <c r="B6" s="4" t="s">
        <v>97</v>
      </c>
      <c r="C6" s="4" t="s">
        <v>98</v>
      </c>
      <c r="D6" s="4" t="s">
        <v>99</v>
      </c>
    </row>
    <row r="7" spans="1:4" ht="48" customHeight="1" x14ac:dyDescent="0.3">
      <c r="A7" s="4" t="s">
        <v>100</v>
      </c>
      <c r="B7" s="4" t="s">
        <v>70</v>
      </c>
      <c r="C7" s="4" t="s">
        <v>101</v>
      </c>
      <c r="D7" s="4" t="s">
        <v>102</v>
      </c>
    </row>
    <row r="8" spans="1:4" ht="48" customHeight="1" x14ac:dyDescent="0.3">
      <c r="A8" s="4" t="s">
        <v>103</v>
      </c>
      <c r="B8" s="4" t="s">
        <v>104</v>
      </c>
      <c r="C8" s="4" t="s">
        <v>105</v>
      </c>
      <c r="D8" s="4" t="s">
        <v>106</v>
      </c>
    </row>
    <row r="9" spans="1:4" ht="48" customHeight="1" x14ac:dyDescent="0.3">
      <c r="A9" s="4" t="s">
        <v>107</v>
      </c>
      <c r="B9" s="4" t="s">
        <v>41</v>
      </c>
      <c r="C9" s="4" t="s">
        <v>108</v>
      </c>
      <c r="D9" s="4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8" customWidth="1"/>
    <col min="2" max="2" width="14" customWidth="1"/>
    <col min="3" max="3" width="56" customWidth="1"/>
    <col min="4" max="4" width="24" customWidth="1"/>
    <col min="5" max="5" width="12" customWidth="1"/>
    <col min="6" max="6" width="54" customWidth="1"/>
  </cols>
  <sheetData>
    <row r="1" spans="1:6" ht="17.399999999999999" x14ac:dyDescent="0.3">
      <c r="A1" s="1" t="s">
        <v>138</v>
      </c>
    </row>
    <row r="2" spans="1:6" x14ac:dyDescent="0.3">
      <c r="A2" s="2" t="s">
        <v>110</v>
      </c>
    </row>
    <row r="4" spans="1:6" s="18" customFormat="1" x14ac:dyDescent="0.3">
      <c r="A4" s="17" t="s">
        <v>27</v>
      </c>
      <c r="B4" s="17" t="s">
        <v>111</v>
      </c>
      <c r="C4" s="17" t="s">
        <v>112</v>
      </c>
      <c r="D4" s="17" t="s">
        <v>113</v>
      </c>
      <c r="E4" s="17" t="s">
        <v>30</v>
      </c>
      <c r="F4" s="17" t="s">
        <v>114</v>
      </c>
    </row>
    <row r="5" spans="1:6" ht="43.5" customHeight="1" x14ac:dyDescent="0.3">
      <c r="A5" s="11" t="s">
        <v>70</v>
      </c>
      <c r="B5" s="11" t="s">
        <v>115</v>
      </c>
      <c r="C5" s="11" t="s">
        <v>116</v>
      </c>
      <c r="D5" s="11" t="s">
        <v>117</v>
      </c>
      <c r="E5" s="11" t="s">
        <v>118</v>
      </c>
      <c r="F5" s="11" t="s">
        <v>119</v>
      </c>
    </row>
    <row r="6" spans="1:6" ht="43.5" customHeight="1" x14ac:dyDescent="0.3">
      <c r="A6" s="7" t="s">
        <v>41</v>
      </c>
      <c r="B6" s="7" t="s">
        <v>120</v>
      </c>
      <c r="C6" s="7" t="s">
        <v>121</v>
      </c>
      <c r="D6" s="7" t="s">
        <v>21</v>
      </c>
      <c r="E6" s="7" t="s">
        <v>122</v>
      </c>
      <c r="F6" s="7" t="s">
        <v>123</v>
      </c>
    </row>
    <row r="7" spans="1:6" ht="43.5" customHeight="1" x14ac:dyDescent="0.3">
      <c r="A7" s="7" t="s">
        <v>54</v>
      </c>
      <c r="B7" s="7" t="s">
        <v>120</v>
      </c>
      <c r="C7" s="7" t="s">
        <v>124</v>
      </c>
      <c r="D7" s="7" t="s">
        <v>21</v>
      </c>
      <c r="E7" s="7" t="s">
        <v>122</v>
      </c>
      <c r="F7" s="7" t="s">
        <v>125</v>
      </c>
    </row>
    <row r="8" spans="1:6" ht="43.5" customHeight="1" x14ac:dyDescent="0.3">
      <c r="A8" s="7" t="s">
        <v>64</v>
      </c>
      <c r="B8" s="7" t="s">
        <v>120</v>
      </c>
      <c r="C8" s="7" t="s">
        <v>126</v>
      </c>
      <c r="D8" s="7" t="s">
        <v>127</v>
      </c>
      <c r="E8" s="7" t="s">
        <v>122</v>
      </c>
      <c r="F8" s="7" t="s">
        <v>128</v>
      </c>
    </row>
    <row r="9" spans="1:6" ht="43.5" customHeight="1" x14ac:dyDescent="0.3">
      <c r="A9" s="7" t="s">
        <v>76</v>
      </c>
      <c r="B9" s="7" t="s">
        <v>120</v>
      </c>
      <c r="C9" s="7" t="s">
        <v>129</v>
      </c>
      <c r="D9" s="7" t="s">
        <v>130</v>
      </c>
      <c r="E9" s="7" t="s">
        <v>118</v>
      </c>
      <c r="F9" s="7" t="s">
        <v>131</v>
      </c>
    </row>
    <row r="10" spans="1:6" ht="43.5" customHeight="1" x14ac:dyDescent="0.3">
      <c r="A10" s="7" t="s">
        <v>79</v>
      </c>
      <c r="B10" s="7" t="s">
        <v>132</v>
      </c>
      <c r="C10" s="7" t="s">
        <v>133</v>
      </c>
      <c r="D10" s="7" t="s">
        <v>21</v>
      </c>
      <c r="E10" s="7" t="s">
        <v>122</v>
      </c>
      <c r="F10" s="7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VERSION-CONTROL</vt:lpstr>
      <vt:lpstr>TRACKER</vt:lpstr>
      <vt:lpstr>CONSTRAINTS</vt:lpstr>
      <vt:lpstr>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Rity Shree</cp:lastModifiedBy>
  <cp:revision>0</cp:revision>
  <dcterms:created xsi:type="dcterms:W3CDTF">2026-09-13T08:56:39Z</dcterms:created>
  <dcterms:modified xsi:type="dcterms:W3CDTF">2026-09-14T16:25:12Z</dcterms:modified>
  <dc:language>en-US</dc:language>
</cp:coreProperties>
</file>