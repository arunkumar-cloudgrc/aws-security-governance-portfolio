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tyshree\Downloads\"/>
    </mc:Choice>
  </mc:AlternateContent>
  <xr:revisionPtr revIDLastSave="0" documentId="13_ncr:1_{B8416DD7-AC3A-4303-89DF-34C4E60CBA6D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README" sheetId="1" r:id="rId1"/>
    <sheet name="VERSION-CONTROL" sheetId="2" r:id="rId2"/>
    <sheet name="FMEA" sheetId="3" r:id="rId3"/>
    <sheet name="RATIONALE-REGISTER" sheetId="4" r:id="rId4"/>
    <sheet name="DETECTION-METHODS" sheetId="5" r:id="rId5"/>
    <sheet name="SCORING-GUIDE" sheetId="6" r:id="rId6"/>
  </sheets>
  <definedNames>
    <definedName name="_xlnm._FilterDatabase" localSheetId="2" hidden="1">FMEA!$A$4:$N$22</definedName>
    <definedName name="_xlnm._FilterDatabase" localSheetId="3" hidden="1">'RATIONALE-REGISTER'!$A$4:$K$22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3" l="1"/>
  <c r="L22" i="3" s="1"/>
  <c r="K21" i="3"/>
  <c r="L21" i="3" s="1"/>
  <c r="K20" i="3"/>
  <c r="L20" i="3" s="1"/>
  <c r="L19" i="3"/>
  <c r="K19" i="3"/>
  <c r="K18" i="3"/>
  <c r="L18" i="3" s="1"/>
  <c r="L17" i="3"/>
  <c r="K17" i="3"/>
  <c r="K16" i="3"/>
  <c r="L16" i="3" s="1"/>
  <c r="K15" i="3"/>
  <c r="L15" i="3" s="1"/>
  <c r="K14" i="3"/>
  <c r="L14" i="3" s="1"/>
  <c r="K13" i="3"/>
  <c r="L13" i="3" s="1"/>
  <c r="K12" i="3"/>
  <c r="L12" i="3" s="1"/>
  <c r="L11" i="3"/>
  <c r="K11" i="3"/>
  <c r="K10" i="3"/>
  <c r="L10" i="3" s="1"/>
  <c r="L9" i="3"/>
  <c r="K9" i="3"/>
  <c r="K8" i="3"/>
  <c r="L8" i="3" s="1"/>
  <c r="K7" i="3"/>
  <c r="L7" i="3" s="1"/>
  <c r="K6" i="3"/>
  <c r="L6" i="3" s="1"/>
  <c r="K5" i="3"/>
  <c r="L5" i="3" s="1"/>
</calcChain>
</file>

<file path=xl/sharedStrings.xml><?xml version="1.0" encoding="utf-8"?>
<sst xmlns="http://schemas.openxmlformats.org/spreadsheetml/2006/main" count="404" uniqueCount="316">
  <si>
    <t>AI Failure Mode and Effects Analysis (FMEA)</t>
  </si>
  <si>
    <t>Credit Decisioning Assistant — Artefact A-10 | Hybrid architecture: deterministic scoring layer + RAG narration layer</t>
  </si>
  <si>
    <t>Field</t>
  </si>
  <si>
    <t>Detail</t>
  </si>
  <si>
    <t>Purpose</t>
  </si>
  <si>
    <t>Structured analysis of how the system can fail, what each failure causes, and how it would be detected in production.</t>
  </si>
  <si>
    <t>Scoring Methodology</t>
  </si>
  <si>
    <t>Severity, Occurrence and Detection each 1–10. RPN = S x O x D, calculated by formula. Detection is scored inversely: 1 means immediately obvious, 10 means it could run undetected indefinitely.</t>
  </si>
  <si>
    <t>Version and Approval History</t>
  </si>
  <si>
    <t>Version</t>
  </si>
  <si>
    <t>Date</t>
  </si>
  <si>
    <t>Author</t>
  </si>
  <si>
    <t>Reviewer</t>
  </si>
  <si>
    <t>Approver</t>
  </si>
  <si>
    <t>Status</t>
  </si>
  <si>
    <t>Change Summary</t>
  </si>
  <si>
    <t>v1.0</t>
  </si>
  <si>
    <t>2026-02-22</t>
  </si>
  <si>
    <t>Security Architecture</t>
  </si>
  <si>
    <t>AI-CoE</t>
  </si>
  <si>
    <t>Superseded</t>
  </si>
  <si>
    <t>Narration layer only</t>
  </si>
  <si>
    <t>v1.1</t>
  </si>
  <si>
    <t>2026-09-13</t>
  </si>
  <si>
    <t>Model Risk; AI-CoE</t>
  </si>
  <si>
    <t>Draft</t>
  </si>
  <si>
    <t>Recreated for the hybrid architecture. Scoring-layer failure modes added</t>
  </si>
  <si>
    <t>Failure Mode and Effects Analysis — Hybrid Architecture (Scoring &amp; Narration Layers)</t>
  </si>
  <si>
    <t>Detection is the critical governance metric. Prevention and detection represent distinct technical controls.</t>
  </si>
  <si>
    <t>ID</t>
  </si>
  <si>
    <t>Layer</t>
  </si>
  <si>
    <t>Failure Mode</t>
  </si>
  <si>
    <t>Effect of Failure</t>
  </si>
  <si>
    <t>S</t>
  </si>
  <si>
    <t>O</t>
  </si>
  <si>
    <t>D</t>
  </si>
  <si>
    <t>Detection Method</t>
  </si>
  <si>
    <t>Monitoring Metric</t>
  </si>
  <si>
    <t>Prevention / Mitigation Control</t>
  </si>
  <si>
    <t>RPN</t>
  </si>
  <si>
    <t>Treatment Required</t>
  </si>
  <si>
    <t>Evaluation Rating</t>
  </si>
  <si>
    <t>Rating Rationale &amp; Remediation Details</t>
  </si>
  <si>
    <t>FM-01</t>
  </si>
  <si>
    <t>Scoring</t>
  </si>
  <si>
    <t>Underfitting — Model Fails to Learn Sufficient Signal</t>
  </si>
  <si>
    <t>Systematically poor discrimination; creditworthy applicants declined and bad risk approved at similar rates.</t>
  </si>
  <si>
    <t>Training, validation and test performance converge at or below the ROC-AUC 0.78 or F1 0.65 minimums.</t>
  </si>
  <si>
    <t>Rolling AUC; calibration monitoring</t>
  </si>
  <si>
    <t>Feature and data adequacy review; complexity assessment; re-validation before Gate 4 re-presentation.</t>
  </si>
  <si>
    <t>CONTROLLED</t>
  </si>
  <si>
    <t>ROC-AUC reached 0.847 in benchmark testing; well above the 0.78 threshold floor. Monitored via weekly pipeline runs.</t>
  </si>
  <si>
    <t>FM-02</t>
  </si>
  <si>
    <t>Overfitting — Model Fits Noise in Training Data</t>
  </si>
  <si>
    <t>Strong validation performance that collapses on unseen applicants in production.</t>
  </si>
  <si>
    <t>Generalization gap beyond 5-point AUC tolerance, measured on holdout test partition held by Model Risk.</t>
  </si>
  <si>
    <t>Rolling AUC decay against matured outcomes</t>
  </si>
  <si>
    <t>Regularization and tree depth constraints; cross-validation split re-partitioning and re-validation.</t>
  </si>
  <si>
    <t>Generalization gap holds at 2.1 points between validation and holdout test sets (well within the 5.0 tolerance).</t>
  </si>
  <si>
    <t>FM-03</t>
  </si>
  <si>
    <t>Calibration Drift — Predicted Probabilities Stop Meaning What They Say</t>
  </si>
  <si>
    <t>The HITL marginal-score band is defined on the probability scale; miscalibration silently misroutes escalation.</t>
  </si>
  <si>
    <t>Brier score against the 0.18 tolerance, monitored post-deployment on matured portfolios.</t>
  </si>
  <si>
    <t>Calibration curve monitoring; escalation volume as a secondary signal</t>
  </si>
  <si>
    <t>MRM review; isotonic regression recalibration; automated trigger for retraining assessment.</t>
  </si>
  <si>
    <t>Brier calibration score verified at 0.13 (exceeding the &lt;= 0.18 tolerance). Escalation queue sizing confirmed stable.</t>
  </si>
  <si>
    <t>FM-04</t>
  </si>
  <si>
    <t>Concept Drift — Macroeconomic Feature-Outcome Relationship Changes</t>
  </si>
  <si>
    <t>Model credit scoring accuracy degrades against an applicant population experiencing macroeconomic shifts.</t>
  </si>
  <si>
    <t>Rolling AUC against outcomes as they mature; Population Stability Index (PSI &gt; 0.2) feature distribution monitoring.</t>
  </si>
  <si>
    <t>AUC decay &gt; 3 points; PSI &gt; 0.2 on top 5 predictive features</t>
  </si>
  <si>
    <t>Quarterly retraining cadence; dynamic retraining trigger; independent Model Risk review.</t>
  </si>
  <si>
    <t>PSI telemetry active in SageMaker Model Monitor. Drift threshold of 3 points AUC decay triggers immediate model review.</t>
  </si>
  <si>
    <t>FM-05</t>
  </si>
  <si>
    <t>Model Extraction via Systematic Black-Box Probing</t>
  </si>
  <si>
    <t>Reconstruction of proprietary scoring behavior and credit policy thresholds by an external adversary.</t>
  </si>
  <si>
    <t>Per-identity rate limiting; anomaly detection alarms on query clustering and parameter stepping.</t>
  </si>
  <si>
    <t>Query volume velocity; repeated near-identical applicant profile submission alarms</t>
  </si>
  <si>
    <t>WAF rate limit enforcement; IP reputation filtering; synthetic honey-token application alerting.</t>
  </si>
  <si>
    <t>Internal microservice deployed behind private VPC endpoints. Public access routes filtered through WAF rate limits.</t>
  </si>
  <si>
    <t>FM-06</t>
  </si>
  <si>
    <t>Retrieval</t>
  </si>
  <si>
    <t>Proxy Attribute in Retrieval Metadata Induces Disparate Treatment</t>
  </si>
  <si>
    <t>Systematically different credit rationale citations and outcomes for applicants with identical financials.</t>
  </si>
  <si>
    <t>Counterfactual pair testing with pre-declared threshold (DIR &gt;= 0.80); retrieval-chunk differential analysis.</t>
  </si>
  <si>
    <t>Quarterly fairness re-test; retrieval differential per demographic cycle</t>
  </si>
  <si>
    <t>Structural removal of postal/geographic metadata; address regex PII redaction; prompt-level geography bans.</t>
  </si>
  <si>
    <t>REMEDIATED (PASS)</t>
  </si>
  <si>
    <t>RATING UPDATED (Gate 2 Remediation): DIR failed at 0.67 on postal code proxy bias; remediated to DIR 0.89 by stripping postal metadata.</t>
  </si>
  <si>
    <t>FM-07</t>
  </si>
  <si>
    <t>Narration</t>
  </si>
  <si>
    <t>Model Cites Irrelevant Policy Clause to Support Conclusion</t>
  </si>
  <si>
    <t>Untrue, misleading, or non-compliant adverse-action reason issued to an applicant (Consumer Duty breach).</t>
  </si>
  <si>
    <t>Grounding verification algorithm blocks unsupported responses; secondary human underwriter review.</t>
  </si>
  <si>
    <t>Grounding block rate (&gt; 8%); customer recourse reversal clustering</t>
  </si>
  <si>
    <t>GDR-04 block-on-fail; mandatory passage-level citation; SHAP feature attribution passed directly into prompt.</t>
  </si>
  <si>
    <t>Block-on-fail rule operational in orchestration. Explanations failing citation alignment (&lt; 0.75 grounding) are suppressed.</t>
  </si>
  <si>
    <t>FM-08</t>
  </si>
  <si>
    <t>Conclusion Does Not Follow Logically from Rules and Figures Cited</t>
  </si>
  <si>
    <t>Defensible-looking recommendation resting on invalid reasoning; subtle hallucination bypassing basic checks.</t>
  </si>
  <si>
    <t>Underwriter check 2 only. No automated detection available — highest Detection score in analysis.</t>
  </si>
  <si>
    <t>Customer recourse dispute clustering; senior underwriter escalation audit logs</t>
  </si>
  <si>
    <t>Compensating control: mandatory 4-point underwriter verification checklist; GDR-06 logged as regional constraint.</t>
  </si>
  <si>
    <t>CONSTRAINT ACCEPTED</t>
  </si>
  <si>
    <t>GDR-06 logical entailment guardrail unavailable in ap-southeast-1. Compensating human review protocol enforced.</t>
  </si>
  <si>
    <t>FM-09</t>
  </si>
  <si>
    <t>Prompt Injection Manipulates Narration or Discloses Policy Thresholds</t>
  </si>
  <si>
    <t>Disclosure of internal scoring cutoffs, confidential risk matrices, or unauthorized override instruction execution.</t>
  </si>
  <si>
    <t>Prompt-attack detection classifier on input payloads; quarterly adversarial red-team penetration test suite.</t>
  </si>
  <si>
    <t>Guardrail intervention rate by filter category; WAF prompt injection signature trips</t>
  </si>
  <si>
    <t>AWS Bedrock Guardrails (GDR-01); strict input sanitization; system prompt separation via delimiters.</t>
  </si>
  <si>
    <t>Input guardrails actively block delimiter escapes and system-prompt extraction attempts with 99.2% recall in testing.</t>
  </si>
  <si>
    <t>FM-10</t>
  </si>
  <si>
    <t>Both</t>
  </si>
  <si>
    <t>Personal Data Persisted into Output Rationale or Audit Record</t>
  </si>
  <si>
    <t>PII exposure in operational dashboards or third-party foundation model logs; GDPR / PDPA data breach.</t>
  </si>
  <si>
    <t>Automated regex/NER PII scanner on output stream; periodic sample record inspection for unredacted entities.</t>
  </si>
  <si>
    <t>PII redaction event counts by entity type; DLP audit alert telemetry</t>
  </si>
  <si>
    <t>GDR-03 applied pre-narration and pre-logging; tokenization of customer identifiers at ingress boundary.</t>
  </si>
  <si>
    <t>Automated boundary tokenization replaces names, national IDs, and account numbers with ephemeral UUIDs.</t>
  </si>
  <si>
    <t>FM-11</t>
  </si>
  <si>
    <t>Orchestration</t>
  </si>
  <si>
    <t>Model Invocation Reaches Model Without Approved Guardrail Control Set</t>
  </si>
  <si>
    <t>Every output on that path is ungoverned; immediate loss of compliance assurance across production decisions.</t>
  </si>
  <si>
    <t>Permission-layer denial makes this structurally impossible; real-time IAM access denied alarm in SIEM.</t>
  </si>
  <si>
    <t>Ungoverned invocation attempts — any occurrence is classified as a P1 Critical Incident</t>
  </si>
  <si>
    <t>ENF-01 enforcement: IAM execution role permits Bedrock invocation only through guardrail wrapper; ENF-02 governed exception.</t>
  </si>
  <si>
    <t>Demonstrated at Gate 5: direct endpoint calls without guardrail parameters return HTTP 403 Access Denied.</t>
  </si>
  <si>
    <t>FM-12</t>
  </si>
  <si>
    <t>Circuit Breaker Fails to Open on Narration Layer Degradation</t>
  </si>
  <si>
    <t>Degraded, hallucinated, or stale policy narration reaches the underwriter looking current and valid.</t>
  </si>
  <si>
    <t>Semi-annual induced-failure test; automated latency and error rate telemetry thresholds.</t>
  </si>
  <si>
    <t>Circuit breaker activation rate; p95 latency ceiling (&gt; 1.5s); grounding block rate (&gt; 8%)</t>
  </si>
  <si>
    <t>RES-01 breaker: fail to deterministic score with narration suppressed; 4-minute emergency kill switch.</t>
  </si>
  <si>
    <t>Tested pre-go-live: synthetic latency injection successfully tripped breaker, falling back to pure score in 1.2s.</t>
  </si>
  <si>
    <t>FM-13</t>
  </si>
  <si>
    <t>Human</t>
  </si>
  <si>
    <t>Underwriter Rubber-Stamps Narration Without Performing Oversight Checks</t>
  </si>
  <si>
    <t>Automated decision-making in substance; EU AI Act Art. 14 and GDPR Art. 22 human oversight defeated.</t>
  </si>
  <si>
    <t>Two-sided override band monitoring (15%–40%); median review duration tracked against 3.5-minute floor.</t>
  </si>
  <si>
    <t>Underwriter override rate; review interaction duration distribution; rapid click-through alerts</t>
  </si>
  <si>
    <t>Banded threshold governance; below-band (&lt; 15%) triggers manager audit; mandatory rationale entry on all reviews.</t>
  </si>
  <si>
    <t>Automated audit logs flag underwriter reviews completed under 60 seconds; monthly sample re-adjudication enforced.</t>
  </si>
  <si>
    <t>FM-14</t>
  </si>
  <si>
    <t>Data</t>
  </si>
  <si>
    <t>Lending Policy Corpus Updated Without Re-Testing Grounding Assurance</t>
  </si>
  <si>
    <t>Grounding and citation assurance no longer holds; outdated policy rules misguide underwriter rationales.</t>
  </si>
  <si>
    <t>Monthly automated corpus integrity check against recorded SHA-256 hash in Data Lineage Record A-14.</t>
  </si>
  <si>
    <t>Corpus hash drift; any unlogged document edit triggers immediate SIEM alarm</t>
  </si>
  <si>
    <t>Corpus change treated as mandatory gate review trigger; automated regression harness re-run pre-deployment.</t>
  </si>
  <si>
    <t>S3 Object Lock and CI/CD policy-ingestion pipelines enforce automated grounding validation prior to corpus index updates.</t>
  </si>
  <si>
    <t>FM-15</t>
  </si>
  <si>
    <t>Vendor</t>
  </si>
  <si>
    <t>Foundation Model Provider Deprecates or Modifies Underlying Model Version</t>
  </si>
  <si>
    <t>Fairness, grounding, citation syntax, and adversarial assurance all invalidated silently overnight.</t>
  </si>
  <si>
    <t>Provider deprecation watch reviewed monthly; model version identifier pinned and checked in invocation logs.</t>
  </si>
  <si>
    <t>Model version mismatch alarm; provider API announcement RSS/webhook integration</t>
  </si>
  <si>
    <t>Architectural policy prohibits auto-updating model versions; new version requires full evaluation harness clearance.</t>
  </si>
  <si>
    <t>Model ARN pinned to specific immutable Bedrock model identifier; deprecation notice received and logged in A-40.</t>
  </si>
  <si>
    <t>FM-16</t>
  </si>
  <si>
    <t>Decision Threshold Misconfiguration Causes Mass Erroneous Approvals</t>
  </si>
  <si>
    <t>Default rates exceed regulatory/risk appetite limits; systemic balance-sheet and credit loss.</t>
  </si>
  <si>
    <t>Real-time rolling default and approval rate anomaly alerts; threshold discrepancy alarms.</t>
  </si>
  <si>
    <t>Daily approval rate deviation (&gt; 1.5% delta); 30-day early-delinquency leading indicator</t>
  </si>
  <si>
    <t>Dual-control change management gate; two-person cryptographic sign-off required for cutoff updates.</t>
  </si>
  <si>
    <t>RECOMMENDED ACTION IMPLEMENTED (from CreditSense FM-07): Threshold updates require dual-key sign-off from Head of Credit and CRO.</t>
  </si>
  <si>
    <t>FM-17</t>
  </si>
  <si>
    <t>Customer Adverse Action Notice Unintelligible or Lacking Recourse Route</t>
  </si>
  <si>
    <t>FCA Consumer Duty / EU AI Act Art. 86 breach; customer unable to understand or contest adverse credit action.</t>
  </si>
  <si>
    <t>Customer recourse escalation rate; compliance spot-checks on issued adverse notices.</t>
  </si>
  <si>
    <t>Adverse action dispute rate; recourse inquiry resolution duration (&lt; 10 business days)</t>
  </si>
  <si>
    <t>Adverse Action Procedure (A-37); SHAP plain-language driver mapping; explicit 10-day independent re-review route.</t>
  </si>
  <si>
    <t>GAP CLOSED (PASS)</t>
  </si>
  <si>
    <t>RECOMMENDED ACTION IMPLEMENTED (from CreditSense FM-08 &amp; Checklist Q4.3): Recourse gap resolved via Artefact A-37.</t>
  </si>
  <si>
    <t>FM-18</t>
  </si>
  <si>
    <t>Underwriting API Latency Spike During Peak Volume Causes Application Timeout</t>
  </si>
  <si>
    <t>Applicant session drops mid-underwriting; transaction lost or un-persisted in core banking platform.</t>
  </si>
  <si>
    <t>Real-time API gateway latency monitoring; timeout rate (&gt; 0.5%) alerting in CloudWatch.</t>
  </si>
  <si>
    <t>API p99 latency; endpoint 5xx error rate; abandoned application telemetry</t>
  </si>
  <si>
    <t>Auto-scaling SageMaker/Bedrock endpoints; graceful timeout pattern with asynchronous resubmission queue.</t>
  </si>
  <si>
    <t>RECOMMENDED ACTION IMPLEMENTED (from CreditSense FM-06): Load-tested at 2.5x peak volume; asynchronous retry queue active.</t>
  </si>
  <si>
    <t>Governance Note: FM-08 carries the highest Detection score (D=8) in the analysis. This is the measurable consequence of GDR-06 logical entailment being unavailable in ap-southeast-1, which is compensated by mandatory passage-level citation and secondary underwriter verification. FM-06 and FM-17 reflect successfully closed gaps from Gate 2 bias remediation and customer recourse implementation.</t>
  </si>
  <si>
    <t>AI FMEA — DETAILED SCORING RATIONALE (SEVERITY, OCCURRENCE, DETECTION &amp; RPN)</t>
  </si>
  <si>
    <t>Technical and governance justification for each numerical rating across all 18 failure modes in the Credit Decisioning Assistant (CDA — Artefact A-10).</t>
  </si>
  <si>
    <t>Severity (S)</t>
  </si>
  <si>
    <t>Severity Rationale</t>
  </si>
  <si>
    <t>Occurrence (O)</t>
  </si>
  <si>
    <t>Occurrence Rationale</t>
  </si>
  <si>
    <t>Detection (D)</t>
  </si>
  <si>
    <t>Detection Rationale</t>
  </si>
  <si>
    <t>RPN (S×O×D)</t>
  </si>
  <si>
    <t>RPN &amp; Action Threshold Rationale</t>
  </si>
  <si>
    <t>S=9 (Critical): High Severity. Systemic inability to distinguish creditworthy borrowers causes widespread unjust loan denials and bad loan issuance, breaching fair lending and safety/soundness mandates.</t>
  </si>
  <si>
    <t>O=3 (Unlikely): Low Occurrence. Pre-deployment baseline evaluation against 180k historical records with hyperparameter tuning makes undetected severe underfitting uncommon.</t>
  </si>
  <si>
    <t>D=4 (Continuous Telemetry): Early Detection. Readily flagged during training/validation splits and initial pipeline evaluation where ROC-AUC converges below the 0.78 threshold.</t>
  </si>
  <si>
    <t>RPN=108 (&gt;100 Threshold): Requires mandatory documented treatment. High Severity (S=9) drives immediate remediation via feature adequacy review and Gate 4 re-presentation.</t>
  </si>
  <si>
    <t>S=8 (Major): Material loss of model generalization. High validation performance masks live degradation, causing elevated defaults on unseen applicant populations.</t>
  </si>
  <si>
    <t>O=4 (Occasional/Possible): Plausible occurrence due to high-dimensional credit bureau data and feature interactions fitting idiosyncratic applicant noise.</t>
  </si>
  <si>
    <t>D=4 (Continuous Metric): Detected early via holdout validation datasets and generalization gap tracking (&gt;5 points AUC difference between train and test held by Model Risk).</t>
  </si>
  <si>
    <t>RPN=128 (&gt;100 Threshold): Exceeds risk tolerance. Mitigated by strict tree depth regularisation, feature pruning, and independent holdout re-validation.</t>
  </si>
  <si>
    <t>S=8 (Major): Directly undermines human oversight. Since the HITL marginal-score escalation band is anchored on calibrated probability scales, drift silently misroutes borderline applicants.</t>
  </si>
  <si>
    <t>O=4 (Possible): Macroeconomic interest rate and inflation shifts alter credit default odds without necessarily altering tree decision rankings.</t>
  </si>
  <si>
    <t>D=5 (Periodic/Lagged Metric): Requires matured 30/60/90-day outcome cohorts to compute true default rates against predicted probabilities via Brier score.</t>
  </si>
  <si>
    <t>RPN=160 (&gt;100 Threshold): Elevated risk profile. Addressed via post-deployment Brier calibration tracking (0.18 threshold) and escalation queue volume alerts.</t>
  </si>
  <si>
    <t>S=8 (Major): Substantial credit risk underestimation or excessive conservatism, eroding bank capital efficiency or violating Consumer Duty fairness expectations.</t>
  </si>
  <si>
    <t>O=5 (Frequent/Moderate): Inevitable over medium-term macro cycles as cost-of-living and borrowing dynamics diverge from historical training data.</t>
  </si>
  <si>
    <t>D=4 (Continuous Drift Monitoring): Detected upstream through Population Stability Index (PSI &gt; 0.2) on input features before loan default outcomes fully mature.</t>
  </si>
  <si>
    <t>RPN=160 (&gt;100 Threshold): Requires continuous automated retraining evaluation and quarterly Model Risk Management (MRM) review.</t>
  </si>
  <si>
    <t>S=6 (Moderate): Loss of proprietary scoring intellectual property; allows credit brokers or adversaries to game approval cutoffs.</t>
  </si>
  <si>
    <t>O=3 (Unlikely): Endpoint is an internal enterprise microservice with restricted API gateway access, limiting exposure to external probing.</t>
  </si>
  <si>
    <t>D=6 (Downstream/Pattern Analysis): Coordinated low-velocity probing across multiple synthetic identities is difficult to distinguish from organic loan application spikes.</t>
  </si>
  <si>
    <t>RPN=108 (&gt;100 Threshold): Controlled via per-identity API rate limiting, IP reputation filtering, and automated query anomaly alarms.</t>
  </si>
  <si>
    <t>S=9 (Critical): Statutory regulatory breach under EU AI Act Annex III 5b, GDPR Art. 9/22, and MAS FEAT fairness principles; systematic demographic discrimination.</t>
  </si>
  <si>
    <t>O=4 (Occasional): Latent geographic, postal code, or institutional metadata frequently correlates with protected demographic segments.</t>
  </si>
  <si>
    <t>D=7 (Difficult/Downstream): Highly elusive; individual rejected applicants cannot infer a systemic segment-level disparity from a single loan notice.</t>
  </si>
  <si>
    <t>RPN=252 (High Critical): Represents the Gate 2 blocked incident (DIR 0.67). Remediated to DIR 0.89 by structural deletion of postal metadata and mandatory regex redaction.</t>
  </si>
  <si>
    <t>S=9 (Critical): Issue of untrue adverse-action notice violating EU AI Act Art. 86 and FCA Consumer Duty; deprives customer of legal right to understand denial.</t>
  </si>
  <si>
    <t>O=5 (Frequent without Controls): Generative LLMs naturally hallucinate or latch onto superficially related clauses when synthesizing credit rules.</t>
  </si>
  <si>
    <t>D=6 (Requires Review): Hallucinated citations appear fluent and authoritative to underwriters unless line-by-line citation verification is enforced.</t>
  </si>
  <si>
    <t>RPN=270 (High Critical): Highest inherent RPN in narration. Controlled via automated GDR-04 block-on-fail grounding verification (&lt;0.75 threshold) and underwriter Check 2.</t>
  </si>
  <si>
    <t>S=8 (Major): Plausible-looking recommendation based on flawed logical entailment; creates defensible-sounding errors that mislead reviewing underwriters.</t>
  </si>
  <si>
    <t>O=4 (Moderate): LLM reasoning leaps occur when synthesizing multi-step conditional rules (e.g., debt-to-income caps vs. collateral exceptions).</t>
  </si>
  <si>
    <t>D=8 (Very Difficult): Highest Detection score across the system. Automated logical entailment (GDR-06) is unavailable in-region, leaving detection entirely to human reviewers.</t>
  </si>
  <si>
    <t>RPN=256 (High Critical): Managed via formally accepted constraint and compensating control: mandatory 4-point underwriter verification and independent recourse re-review.</t>
  </si>
  <si>
    <t>S=7 (Major): Integrity and confidentiality breach; leakage of proprietary credit underwriting cutoffs or manipulation of rationale tone.</t>
  </si>
  <si>
    <t>O=5 (Moderate/High): Free-text applicant employer descriptions or borrower notes provide an accessible vector for prompt injection payloads.</t>
  </si>
  <si>
    <t>D=4 (Continuous Guardrails): Real-time input classification in AWS Bedrock Guardrails detects structural delimiter breakouts and known injection tokens.</t>
  </si>
  <si>
    <t>RPN=140 (&gt;100 Threshold): Controlled by strict input sanitization, XML system/user prompt delimiters, and continuous red-team testing.</t>
  </si>
  <si>
    <t>S=9 (Critical): Severe statutory privacy violation under GDPR Art. 5/33 and Singapore PDPA; potential external foundation model data leakage.</t>
  </si>
  <si>
    <t>O=3 (Unlikely with Controls): Boundary tokenization and regex scrubbing actively filter customer identity fields at ingestion.</t>
  </si>
  <si>
    <t>D=5 (Periodic/Log Audit): Masked or synthetic entities blend into text; unredacted edge cases (e.g., unusual names in employer notes) require automated DLP scanners.</t>
  </si>
  <si>
    <t>RPN=135 (&gt;100 Threshold): Mitigated via GDR-03 6-entity PII redaction pre-narration and KMS envelope encryption on all persisted audit logs.</t>
  </si>
  <si>
    <t>S=10 (Catastrophic): Maximum Severity. Ungoverned model execution completely strips regulatory safeguards, invalidating compliance assurance.</t>
  </si>
  <si>
    <t>O=2 (Rare): Structural IAM policy locks prevent model endpoint invocation unless wrapped with Bedrock Guardrail parameters.</t>
  </si>
  <si>
    <t>D=2 (Immediate Automated Block): Permission-layer enforcement generates instantaneous HTTP 403 Access Denied and P1 SIEM alerts upon any bypass attempt.</t>
  </si>
  <si>
    <t>RPN=40 (&lt;100 Threshold, but S=10 mandates treatment): Zero tolerance. Controlled via ENF-01 execution roles and dual-custody ENF-02 debug bypass procedures.</t>
  </si>
  <si>
    <t>S=9 (Critical): Degraded or failing generative service continues passing corrupted rationales to underwriters, contaminating credit decisions.</t>
  </si>
  <si>
    <t>O=2 (Rare): Tested resilience design; failover logic runs locally within the orchestration wrapper rather than depending on external network health.</t>
  </si>
  <si>
    <t>D=3 (Automated Telemetry): Real-time p95 latency (&gt;1.5s) and error-rate monitoring trips the circuit breaker automatically within 4 minutes.</t>
  </si>
  <si>
    <t>RPN=54 (&lt;100 Threshold, but S=9 mandates treatment): Addressed via RES-01 failover rule: system automatically falls back to raw score, suppressing narration.</t>
  </si>
  <si>
    <t>S=8 (Major): Automation bias converts an assistive system into de facto solely automated decision-making, defeating EU AI Act Art. 14 oversight.</t>
  </si>
  <si>
    <t>O=6 (High): Operational fatigue and loan queue volume pressure strongly incentivize officers to accept fluent narratives without review.</t>
  </si>
  <si>
    <t>D=6 (Behavioral/Statistical): Difficult to spot on single decisions; requires analyzing aggregate review duration and override distributions over time.</t>
  </si>
  <si>
    <t>RPN=288 (Highest in Register): Addressed via two-sided override monitoring band (15%–40%), 3.5-minute review duration floor, and mandatory written override justifications.</t>
  </si>
  <si>
    <t>S=7 (Major): Policy manual updates alter citation indices, causing hallucinations or citing superseded underwriting criteria.</t>
  </si>
  <si>
    <t>O=5 (Frequent): Credit policy committees regularly revise risk thresholds, interest rate margins, and product criteria.</t>
  </si>
  <si>
    <t>D=5 (Periodic/Hash Mismatch): Changes in source CMS remain undetected by vector embeddings unless automated hash synchronization is enforced.</t>
  </si>
  <si>
    <t>RPN=175 (&gt;100 Threshold): Controlled by S3 Object Lock and mandatory SHA-256 hash checks that trigger automated evaluation regression suites on any edit.</t>
  </si>
  <si>
    <t>S=8 (Major): Third-party model updates silently invalidate prompt behavior, citation formatting, grounding scores, and safety boundaries.</t>
  </si>
  <si>
    <t>O=5 (Frequent): Cloud foundation model providers routinely update weights, deprecate snapshots, or modify safety system prompts.</t>
  </si>
  <si>
    <t>D=4 (Automated Metadata Check): Model ARN version pinning and invocation log validation detect provider version changes on the first invocation.</t>
  </si>
  <si>
    <t>RPN=160 (&gt;100 Threshold): Controlled via Model Change &amp; Deprecation Log (A-40); policy prohibits traffic routing to un-evaluated model versions.</t>
  </si>
  <si>
    <t>S=9 (Critical): Erroneous cutoff calibration leads to systemic bad credit origination, severe balance-sheet impairment, and prudential capital breaches.</t>
  </si>
  <si>
    <t>O=2 (Rare): Core risk cutoffs are rarely altered and are governed by strict model change protocols.</t>
  </si>
  <si>
    <t>D=3 (Automated Telemetry): Daily approval rate anomaly alerts (&gt;1.5% movement) and portfolio early-delinquency tracking detect misconfigurations quickly.</t>
  </si>
  <si>
    <t>RPN=54 (&lt;100 Threshold, but S=9 mandates treatment): Enforced via dual-control change management requiring cryptographic sign-off from Head of Credit Analytics &amp; CRO.</t>
  </si>
  <si>
    <t>S=8 (Major): Direct regulatory non-compliance under EU AI Act Art. 86 and FCA Consumer Duty; customer is unable to contest or correct adverse outcomes.</t>
  </si>
  <si>
    <t>O=3 (Unlikely with A-37): Mitigated by standardized plain-language adverse-action narration templates.</t>
  </si>
  <si>
    <t>D=4 (Process Verification): Compliance spot-audits and customer complaint dispute tracking flag unclear or non-compliant rejection letters.</t>
  </si>
  <si>
    <t>RPN=96 (Gap Closed): Statutory recourse gap closed by establishing Artefact A-37 (Adverse Action &amp; Customer Recourse Procedure with 10-day re-review SLA).</t>
  </si>
  <si>
    <t>S=6 (Moderate): Customer application drops mid-session; creates operational backlogs and customer dissatisfaction but no balance-sheet loss.</t>
  </si>
  <si>
    <t>O=3 (Unlikely): Auto-scaled inference endpoints sized to handle 2.5x peak volume (~1,800 decisions/day).</t>
  </si>
  <si>
    <t>D=2 (Real-Time Alarms): API Gateway p99 latency alarms and CloudWatch 5xx error rate thresholds trigger immediately upon breach.</t>
  </si>
  <si>
    <t>RPN=36 (Low Risk / Monitored): Controlled via SQS asynchronous retry queues, graceful timeout resubmission patterns, and auto-scaling endpoints.</t>
  </si>
  <si>
    <t>Detection Methods — Operational Coverage and Gaps</t>
  </si>
  <si>
    <t>What It Catches</t>
  </si>
  <si>
    <t>Typical Detection Score (D)</t>
  </si>
  <si>
    <t>What It Misses</t>
  </si>
  <si>
    <t>Automated control block</t>
  </si>
  <si>
    <t>Failure prevented and recorded at the moment it occurs</t>
  </si>
  <si>
    <t>1–2</t>
  </si>
  <si>
    <t>Only failures the control was designed for</t>
  </si>
  <si>
    <t>Continuous metric with threshold</t>
  </si>
  <si>
    <t>Deviation surfaced within the measurement interval</t>
  </si>
  <si>
    <t>3–4</t>
  </si>
  <si>
    <t>Failures that do not move the metric, or move it within tolerance</t>
  </si>
  <si>
    <t>Periodic test</t>
  </si>
  <si>
    <t>Failures reproducible by the test design</t>
  </si>
  <si>
    <t>5–6</t>
  </si>
  <si>
    <t>Anything outside the test set</t>
  </si>
  <si>
    <t>Human review at point of use</t>
  </si>
  <si>
    <t>Failures visible to a trained reviewer in the moment</t>
  </si>
  <si>
    <t>6–7</t>
  </si>
  <si>
    <t>Failures that look correct. Degrades under volume pressure</t>
  </si>
  <si>
    <t>Downstream signal (recourse, complaint)</t>
  </si>
  <si>
    <t>Failures that reached and were noticed by an applicant</t>
  </si>
  <si>
    <t>8–9</t>
  </si>
  <si>
    <t>Only what a customer challenges</t>
  </si>
  <si>
    <t>None</t>
  </si>
  <si>
    <t>Nothing</t>
  </si>
  <si>
    <t>10</t>
  </si>
  <si>
    <t>Should never appear on a live system without an accepted risk entry</t>
  </si>
  <si>
    <t>Scoring Anchors and Evaluation Rubric</t>
  </si>
  <si>
    <t>Standardized 1–10 qualitative and quantitative scoring criteria across Severity, Occurrence, and Detection.</t>
  </si>
  <si>
    <t>Score Band</t>
  </si>
  <si>
    <t>Severity Criteria (S)</t>
  </si>
  <si>
    <t>Occurrence Criteria (O)</t>
  </si>
  <si>
    <t>Detection Criteria (D)</t>
  </si>
  <si>
    <t>9–10</t>
  </si>
  <si>
    <t>Regulatory breach, discriminatory outcome, or confirmed harm to an applicant</t>
  </si>
  <si>
    <t>Likely — expected without controls</t>
  </si>
  <si>
    <t>Undetectable in practice</t>
  </si>
  <si>
    <t>7–8</t>
  </si>
  <si>
    <t>Material control failure; loss of assurance</t>
  </si>
  <si>
    <t>Possible under normal operation</t>
  </si>
  <si>
    <t>Detected only downstream</t>
  </si>
  <si>
    <t>Degraded performance; recoverable</t>
  </si>
  <si>
    <t>Occasional</t>
  </si>
  <si>
    <t>Detected by periodic test</t>
  </si>
  <si>
    <t>Limited operational impact</t>
  </si>
  <si>
    <t>Unlikely</t>
  </si>
  <si>
    <t>Detected by continuous monitoring</t>
  </si>
  <si>
    <t>No material impact</t>
  </si>
  <si>
    <t>Rare</t>
  </si>
  <si>
    <t>Prevented and recorded automatically</t>
  </si>
  <si>
    <t xml:space="preserve">RPN = Severity (S) x Occurrence (O) x Detectability (D)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</si>
</sst>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.5"/>
      <color rgb="FF000000"/>
      <name val="Arial"/>
      <family val="2"/>
    </font>
    <font>
      <b/>
      <sz val="10"/>
      <color rgb="FFFFFFFF"/>
      <name val="Arial"/>
      <family val="2"/>
    </font>
    <font>
      <b/>
      <sz val="9.5"/>
      <color rgb="FF000000"/>
      <name val="Arial"/>
      <family val="2"/>
    </font>
    <font>
      <b/>
      <sz val="9.5"/>
      <color rgb="FF276A3C"/>
      <name val="Arial"/>
      <family val="2"/>
    </font>
    <font>
      <b/>
      <sz val="9.5"/>
      <color rgb="FF274E13"/>
      <name val="Arial"/>
      <family val="2"/>
    </font>
    <font>
      <b/>
      <sz val="9.5"/>
      <color rgb="FFB25900"/>
      <name val="Arial"/>
      <family val="2"/>
    </font>
    <font>
      <i/>
      <sz val="9.5"/>
      <color rgb="FF333333"/>
      <name val="Arial"/>
      <family val="2"/>
    </font>
    <font>
      <b/>
      <sz val="13"/>
      <color rgb="FF1F3864"/>
      <name val="Arial"/>
      <family val="2"/>
    </font>
    <font>
      <i/>
      <sz val="9.5"/>
      <color rgb="FF5959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8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0" fontId="9" fillId="4" borderId="2" xfId="0" applyFont="1" applyFill="1" applyBorder="1" applyAlignment="1">
      <alignment horizontal="center" vertical="top"/>
    </xf>
    <xf numFmtId="0" fontId="10" fillId="5" borderId="2" xfId="0" applyFont="1" applyFill="1" applyBorder="1" applyAlignment="1">
      <alignment horizontal="center" vertical="top"/>
    </xf>
    <xf numFmtId="0" fontId="11" fillId="6" borderId="2" xfId="0" applyFont="1" applyFill="1" applyBorder="1" applyAlignment="1">
      <alignment horizontal="center" vertical="top"/>
    </xf>
    <xf numFmtId="0" fontId="4" fillId="0" borderId="3" xfId="0" applyFont="1" applyBorder="1"/>
    <xf numFmtId="0" fontId="5" fillId="0" borderId="3" xfId="0" applyFont="1" applyBorder="1"/>
    <xf numFmtId="0" fontId="12" fillId="0" borderId="3" xfId="0" applyFont="1" applyBorder="1" applyAlignment="1">
      <alignment horizontal="left" vertical="top" wrapText="1"/>
    </xf>
    <xf numFmtId="0" fontId="0" fillId="0" borderId="0" xfId="0"/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Normal="100" workbookViewId="0">
      <selection activeCell="A4" sqref="A4"/>
    </sheetView>
  </sheetViews>
  <sheetFormatPr defaultColWidth="8.6640625" defaultRowHeight="14.4" x14ac:dyDescent="0.3"/>
  <cols>
    <col min="1" max="1" width="26" customWidth="1"/>
    <col min="2" max="2" width="112" customWidth="1"/>
  </cols>
  <sheetData>
    <row r="1" spans="1:2" ht="17.399999999999999" customHeight="1" x14ac:dyDescent="0.3">
      <c r="A1" s="1" t="s">
        <v>0</v>
      </c>
    </row>
    <row r="2" spans="1:2" ht="15" customHeight="1" x14ac:dyDescent="0.3">
      <c r="A2" s="2" t="s">
        <v>1</v>
      </c>
    </row>
    <row r="4" spans="1:2" s="20" customFormat="1" ht="15" customHeight="1" x14ac:dyDescent="0.3">
      <c r="A4" s="19" t="s">
        <v>2</v>
      </c>
      <c r="B4" s="19" t="s">
        <v>3</v>
      </c>
    </row>
    <row r="5" spans="1:2" ht="49.5" customHeight="1" x14ac:dyDescent="0.3">
      <c r="A5" s="3" t="s">
        <v>4</v>
      </c>
      <c r="B5" s="4" t="s">
        <v>5</v>
      </c>
    </row>
    <row r="6" spans="1:2" ht="49.5" customHeight="1" x14ac:dyDescent="0.3">
      <c r="A6" s="3" t="s">
        <v>6</v>
      </c>
      <c r="B6" s="4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10" customWidth="1"/>
    <col min="2" max="2" width="13" customWidth="1"/>
    <col min="3" max="3" width="20" customWidth="1"/>
    <col min="4" max="4" width="24" customWidth="1"/>
    <col min="5" max="5" width="22" customWidth="1"/>
    <col min="6" max="6" width="14" customWidth="1"/>
    <col min="7" max="7" width="62" customWidth="1"/>
  </cols>
  <sheetData>
    <row r="1" spans="1:7" ht="17.399999999999999" customHeight="1" x14ac:dyDescent="0.3">
      <c r="A1" s="1" t="s">
        <v>8</v>
      </c>
    </row>
    <row r="4" spans="1:7" s="20" customFormat="1" ht="15" customHeight="1" x14ac:dyDescent="0.3">
      <c r="A4" s="19" t="s">
        <v>9</v>
      </c>
      <c r="B4" s="19" t="s">
        <v>10</v>
      </c>
      <c r="C4" s="19" t="s">
        <v>11</v>
      </c>
      <c r="D4" s="19" t="s">
        <v>12</v>
      </c>
      <c r="E4" s="19" t="s">
        <v>13</v>
      </c>
      <c r="F4" s="19" t="s">
        <v>14</v>
      </c>
      <c r="G4" s="19" t="s">
        <v>15</v>
      </c>
    </row>
    <row r="5" spans="1:7" ht="33.75" customHeight="1" x14ac:dyDescent="0.3">
      <c r="A5" s="4" t="s">
        <v>16</v>
      </c>
      <c r="B5" s="4" t="s">
        <v>17</v>
      </c>
      <c r="C5" s="4" t="s">
        <v>18</v>
      </c>
      <c r="D5" s="4" t="s">
        <v>19</v>
      </c>
      <c r="E5" s="4" t="s">
        <v>18</v>
      </c>
      <c r="F5" s="4" t="s">
        <v>20</v>
      </c>
      <c r="G5" s="4" t="s">
        <v>21</v>
      </c>
    </row>
    <row r="6" spans="1:7" ht="33.75" customHeight="1" x14ac:dyDescent="0.3">
      <c r="A6" s="4" t="s">
        <v>22</v>
      </c>
      <c r="B6" s="4" t="s">
        <v>23</v>
      </c>
      <c r="C6" s="4" t="s">
        <v>18</v>
      </c>
      <c r="D6" s="4" t="s">
        <v>24</v>
      </c>
      <c r="E6" s="4" t="s">
        <v>18</v>
      </c>
      <c r="F6" s="4" t="s">
        <v>25</v>
      </c>
      <c r="G6" s="4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zoomScaleNormal="100" workbookViewId="0">
      <pane xSplit="2" ySplit="4" topLeftCell="C18" activePane="bottomRight" state="frozen"/>
      <selection pane="topRight" activeCell="C1" sqref="C1"/>
      <selection pane="bottomLeft" activeCell="A5" sqref="A5"/>
      <selection pane="bottomRight" activeCell="A25" sqref="A25:N26"/>
    </sheetView>
  </sheetViews>
  <sheetFormatPr defaultColWidth="8.6640625" defaultRowHeight="14.4" x14ac:dyDescent="0.3"/>
  <cols>
    <col min="1" max="1" width="20.88671875" customWidth="1"/>
    <col min="2" max="2" width="15" customWidth="1"/>
    <col min="3" max="3" width="36" customWidth="1"/>
    <col min="4" max="4" width="45" customWidth="1"/>
    <col min="5" max="7" width="6" customWidth="1"/>
    <col min="8" max="8" width="46" customWidth="1"/>
    <col min="9" max="9" width="34" customWidth="1"/>
    <col min="10" max="10" width="46" customWidth="1"/>
    <col min="11" max="11" width="10" customWidth="1"/>
    <col min="12" max="12" width="18" customWidth="1"/>
    <col min="13" max="13" width="22" customWidth="1"/>
    <col min="14" max="14" width="55" customWidth="1"/>
  </cols>
  <sheetData>
    <row r="1" spans="1:15" ht="17.399999999999999" customHeight="1" x14ac:dyDescent="0.3">
      <c r="A1" s="1" t="s">
        <v>27</v>
      </c>
    </row>
    <row r="2" spans="1:15" ht="15" customHeight="1" x14ac:dyDescent="0.3">
      <c r="A2" s="2" t="s">
        <v>28</v>
      </c>
    </row>
    <row r="4" spans="1:15" s="20" customFormat="1" ht="28.05" customHeight="1" x14ac:dyDescent="0.3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39</v>
      </c>
      <c r="L4" s="5" t="s">
        <v>40</v>
      </c>
      <c r="M4" s="5" t="s">
        <v>41</v>
      </c>
      <c r="N4" s="5" t="s">
        <v>42</v>
      </c>
      <c r="O4" s="21"/>
    </row>
    <row r="5" spans="1:15" ht="49.95" customHeight="1" x14ac:dyDescent="0.3">
      <c r="A5" s="7" t="s">
        <v>43</v>
      </c>
      <c r="B5" s="8" t="s">
        <v>44</v>
      </c>
      <c r="C5" s="9" t="s">
        <v>45</v>
      </c>
      <c r="D5" s="9" t="s">
        <v>46</v>
      </c>
      <c r="E5" s="8">
        <v>9</v>
      </c>
      <c r="F5" s="8">
        <v>3</v>
      </c>
      <c r="G5" s="8">
        <v>4</v>
      </c>
      <c r="H5" s="9" t="s">
        <v>47</v>
      </c>
      <c r="I5" s="9" t="s">
        <v>48</v>
      </c>
      <c r="J5" s="9" t="s">
        <v>49</v>
      </c>
      <c r="K5" s="7">
        <f t="shared" ref="K5:K22" si="0">E5*F5*G5</f>
        <v>108</v>
      </c>
      <c r="L5" s="7" t="str">
        <f t="shared" ref="L5:L22" si="1">IF(OR(K5&gt;100,E5&gt;=9),"Yes","Monitor")</f>
        <v>Yes</v>
      </c>
      <c r="M5" s="10" t="s">
        <v>50</v>
      </c>
      <c r="N5" s="9" t="s">
        <v>51</v>
      </c>
      <c r="O5" s="6"/>
    </row>
    <row r="6" spans="1:15" ht="49.95" customHeight="1" x14ac:dyDescent="0.3">
      <c r="A6" s="7" t="s">
        <v>52</v>
      </c>
      <c r="B6" s="8" t="s">
        <v>44</v>
      </c>
      <c r="C6" s="9" t="s">
        <v>53</v>
      </c>
      <c r="D6" s="9" t="s">
        <v>54</v>
      </c>
      <c r="E6" s="8">
        <v>8</v>
      </c>
      <c r="F6" s="8">
        <v>4</v>
      </c>
      <c r="G6" s="8">
        <v>4</v>
      </c>
      <c r="H6" s="9" t="s">
        <v>55</v>
      </c>
      <c r="I6" s="9" t="s">
        <v>56</v>
      </c>
      <c r="J6" s="9" t="s">
        <v>57</v>
      </c>
      <c r="K6" s="7">
        <f t="shared" si="0"/>
        <v>128</v>
      </c>
      <c r="L6" s="7" t="str">
        <f t="shared" si="1"/>
        <v>Yes</v>
      </c>
      <c r="M6" s="10" t="s">
        <v>50</v>
      </c>
      <c r="N6" s="9" t="s">
        <v>58</v>
      </c>
      <c r="O6" s="6"/>
    </row>
    <row r="7" spans="1:15" ht="49.95" customHeight="1" x14ac:dyDescent="0.3">
      <c r="A7" s="7" t="s">
        <v>59</v>
      </c>
      <c r="B7" s="8" t="s">
        <v>44</v>
      </c>
      <c r="C7" s="9" t="s">
        <v>60</v>
      </c>
      <c r="D7" s="9" t="s">
        <v>61</v>
      </c>
      <c r="E7" s="8">
        <v>8</v>
      </c>
      <c r="F7" s="8">
        <v>4</v>
      </c>
      <c r="G7" s="8">
        <v>5</v>
      </c>
      <c r="H7" s="9" t="s">
        <v>62</v>
      </c>
      <c r="I7" s="9" t="s">
        <v>63</v>
      </c>
      <c r="J7" s="9" t="s">
        <v>64</v>
      </c>
      <c r="K7" s="7">
        <f t="shared" si="0"/>
        <v>160</v>
      </c>
      <c r="L7" s="7" t="str">
        <f t="shared" si="1"/>
        <v>Yes</v>
      </c>
      <c r="M7" s="10" t="s">
        <v>50</v>
      </c>
      <c r="N7" s="9" t="s">
        <v>65</v>
      </c>
      <c r="O7" s="6"/>
    </row>
    <row r="8" spans="1:15" ht="49.95" customHeight="1" x14ac:dyDescent="0.3">
      <c r="A8" s="7" t="s">
        <v>66</v>
      </c>
      <c r="B8" s="8" t="s">
        <v>44</v>
      </c>
      <c r="C8" s="9" t="s">
        <v>67</v>
      </c>
      <c r="D8" s="9" t="s">
        <v>68</v>
      </c>
      <c r="E8" s="8">
        <v>8</v>
      </c>
      <c r="F8" s="8">
        <v>5</v>
      </c>
      <c r="G8" s="8">
        <v>4</v>
      </c>
      <c r="H8" s="9" t="s">
        <v>69</v>
      </c>
      <c r="I8" s="9" t="s">
        <v>70</v>
      </c>
      <c r="J8" s="9" t="s">
        <v>71</v>
      </c>
      <c r="K8" s="7">
        <f t="shared" si="0"/>
        <v>160</v>
      </c>
      <c r="L8" s="7" t="str">
        <f t="shared" si="1"/>
        <v>Yes</v>
      </c>
      <c r="M8" s="10" t="s">
        <v>50</v>
      </c>
      <c r="N8" s="9" t="s">
        <v>72</v>
      </c>
      <c r="O8" s="6"/>
    </row>
    <row r="9" spans="1:15" ht="49.95" customHeight="1" x14ac:dyDescent="0.3">
      <c r="A9" s="7" t="s">
        <v>73</v>
      </c>
      <c r="B9" s="8" t="s">
        <v>44</v>
      </c>
      <c r="C9" s="9" t="s">
        <v>74</v>
      </c>
      <c r="D9" s="9" t="s">
        <v>75</v>
      </c>
      <c r="E9" s="8">
        <v>6</v>
      </c>
      <c r="F9" s="8">
        <v>3</v>
      </c>
      <c r="G9" s="8">
        <v>6</v>
      </c>
      <c r="H9" s="9" t="s">
        <v>76</v>
      </c>
      <c r="I9" s="9" t="s">
        <v>77</v>
      </c>
      <c r="J9" s="9" t="s">
        <v>78</v>
      </c>
      <c r="K9" s="7">
        <f t="shared" si="0"/>
        <v>108</v>
      </c>
      <c r="L9" s="7" t="str">
        <f t="shared" si="1"/>
        <v>Yes</v>
      </c>
      <c r="M9" s="10" t="s">
        <v>50</v>
      </c>
      <c r="N9" s="9" t="s">
        <v>79</v>
      </c>
      <c r="O9" s="6"/>
    </row>
    <row r="10" spans="1:15" ht="49.95" customHeight="1" x14ac:dyDescent="0.3">
      <c r="A10" s="7" t="s">
        <v>80</v>
      </c>
      <c r="B10" s="8" t="s">
        <v>81</v>
      </c>
      <c r="C10" s="9" t="s">
        <v>82</v>
      </c>
      <c r="D10" s="9" t="s">
        <v>83</v>
      </c>
      <c r="E10" s="8">
        <v>9</v>
      </c>
      <c r="F10" s="8">
        <v>4</v>
      </c>
      <c r="G10" s="8">
        <v>7</v>
      </c>
      <c r="H10" s="9" t="s">
        <v>84</v>
      </c>
      <c r="I10" s="9" t="s">
        <v>85</v>
      </c>
      <c r="J10" s="9" t="s">
        <v>86</v>
      </c>
      <c r="K10" s="7">
        <f t="shared" si="0"/>
        <v>252</v>
      </c>
      <c r="L10" s="7" t="str">
        <f t="shared" si="1"/>
        <v>Yes</v>
      </c>
      <c r="M10" s="11" t="s">
        <v>87</v>
      </c>
      <c r="N10" s="9" t="s">
        <v>88</v>
      </c>
      <c r="O10" s="6"/>
    </row>
    <row r="11" spans="1:15" ht="49.95" customHeight="1" x14ac:dyDescent="0.3">
      <c r="A11" s="7" t="s">
        <v>89</v>
      </c>
      <c r="B11" s="8" t="s">
        <v>90</v>
      </c>
      <c r="C11" s="9" t="s">
        <v>91</v>
      </c>
      <c r="D11" s="9" t="s">
        <v>92</v>
      </c>
      <c r="E11" s="8">
        <v>9</v>
      </c>
      <c r="F11" s="8">
        <v>5</v>
      </c>
      <c r="G11" s="8">
        <v>6</v>
      </c>
      <c r="H11" s="9" t="s">
        <v>93</v>
      </c>
      <c r="I11" s="9" t="s">
        <v>94</v>
      </c>
      <c r="J11" s="9" t="s">
        <v>95</v>
      </c>
      <c r="K11" s="7">
        <f t="shared" si="0"/>
        <v>270</v>
      </c>
      <c r="L11" s="7" t="str">
        <f t="shared" si="1"/>
        <v>Yes</v>
      </c>
      <c r="M11" s="10" t="s">
        <v>50</v>
      </c>
      <c r="N11" s="9" t="s">
        <v>96</v>
      </c>
      <c r="O11" s="6"/>
    </row>
    <row r="12" spans="1:15" ht="49.95" customHeight="1" x14ac:dyDescent="0.3">
      <c r="A12" s="7" t="s">
        <v>97</v>
      </c>
      <c r="B12" s="8" t="s">
        <v>90</v>
      </c>
      <c r="C12" s="9" t="s">
        <v>98</v>
      </c>
      <c r="D12" s="9" t="s">
        <v>99</v>
      </c>
      <c r="E12" s="8">
        <v>8</v>
      </c>
      <c r="F12" s="8">
        <v>4</v>
      </c>
      <c r="G12" s="8">
        <v>8</v>
      </c>
      <c r="H12" s="9" t="s">
        <v>100</v>
      </c>
      <c r="I12" s="9" t="s">
        <v>101</v>
      </c>
      <c r="J12" s="9" t="s">
        <v>102</v>
      </c>
      <c r="K12" s="7">
        <f t="shared" si="0"/>
        <v>256</v>
      </c>
      <c r="L12" s="7" t="str">
        <f t="shared" si="1"/>
        <v>Yes</v>
      </c>
      <c r="M12" s="12" t="s">
        <v>103</v>
      </c>
      <c r="N12" s="9" t="s">
        <v>104</v>
      </c>
      <c r="O12" s="6"/>
    </row>
    <row r="13" spans="1:15" ht="49.95" customHeight="1" x14ac:dyDescent="0.3">
      <c r="A13" s="7" t="s">
        <v>105</v>
      </c>
      <c r="B13" s="8" t="s">
        <v>90</v>
      </c>
      <c r="C13" s="9" t="s">
        <v>106</v>
      </c>
      <c r="D13" s="9" t="s">
        <v>107</v>
      </c>
      <c r="E13" s="8">
        <v>7</v>
      </c>
      <c r="F13" s="8">
        <v>5</v>
      </c>
      <c r="G13" s="8">
        <v>4</v>
      </c>
      <c r="H13" s="9" t="s">
        <v>108</v>
      </c>
      <c r="I13" s="9" t="s">
        <v>109</v>
      </c>
      <c r="J13" s="9" t="s">
        <v>110</v>
      </c>
      <c r="K13" s="7">
        <f t="shared" si="0"/>
        <v>140</v>
      </c>
      <c r="L13" s="7" t="str">
        <f t="shared" si="1"/>
        <v>Yes</v>
      </c>
      <c r="M13" s="10" t="s">
        <v>50</v>
      </c>
      <c r="N13" s="9" t="s">
        <v>111</v>
      </c>
      <c r="O13" s="6"/>
    </row>
    <row r="14" spans="1:15" ht="49.95" customHeight="1" x14ac:dyDescent="0.3">
      <c r="A14" s="7" t="s">
        <v>112</v>
      </c>
      <c r="B14" s="8" t="s">
        <v>113</v>
      </c>
      <c r="C14" s="9" t="s">
        <v>114</v>
      </c>
      <c r="D14" s="9" t="s">
        <v>115</v>
      </c>
      <c r="E14" s="8">
        <v>9</v>
      </c>
      <c r="F14" s="8">
        <v>3</v>
      </c>
      <c r="G14" s="8">
        <v>5</v>
      </c>
      <c r="H14" s="9" t="s">
        <v>116</v>
      </c>
      <c r="I14" s="9" t="s">
        <v>117</v>
      </c>
      <c r="J14" s="9" t="s">
        <v>118</v>
      </c>
      <c r="K14" s="7">
        <f t="shared" si="0"/>
        <v>135</v>
      </c>
      <c r="L14" s="7" t="str">
        <f t="shared" si="1"/>
        <v>Yes</v>
      </c>
      <c r="M14" s="10" t="s">
        <v>50</v>
      </c>
      <c r="N14" s="9" t="s">
        <v>119</v>
      </c>
      <c r="O14" s="6"/>
    </row>
    <row r="15" spans="1:15" ht="49.95" customHeight="1" x14ac:dyDescent="0.3">
      <c r="A15" s="7" t="s">
        <v>120</v>
      </c>
      <c r="B15" s="8" t="s">
        <v>121</v>
      </c>
      <c r="C15" s="9" t="s">
        <v>122</v>
      </c>
      <c r="D15" s="9" t="s">
        <v>123</v>
      </c>
      <c r="E15" s="8">
        <v>10</v>
      </c>
      <c r="F15" s="8">
        <v>2</v>
      </c>
      <c r="G15" s="8">
        <v>2</v>
      </c>
      <c r="H15" s="9" t="s">
        <v>124</v>
      </c>
      <c r="I15" s="9" t="s">
        <v>125</v>
      </c>
      <c r="J15" s="9" t="s">
        <v>126</v>
      </c>
      <c r="K15" s="7">
        <f t="shared" si="0"/>
        <v>40</v>
      </c>
      <c r="L15" s="7" t="str">
        <f t="shared" si="1"/>
        <v>Yes</v>
      </c>
      <c r="M15" s="10" t="s">
        <v>50</v>
      </c>
      <c r="N15" s="9" t="s">
        <v>127</v>
      </c>
      <c r="O15" s="6"/>
    </row>
    <row r="16" spans="1:15" ht="49.95" customHeight="1" x14ac:dyDescent="0.3">
      <c r="A16" s="7" t="s">
        <v>128</v>
      </c>
      <c r="B16" s="8" t="s">
        <v>121</v>
      </c>
      <c r="C16" s="9" t="s">
        <v>129</v>
      </c>
      <c r="D16" s="9" t="s">
        <v>130</v>
      </c>
      <c r="E16" s="8">
        <v>9</v>
      </c>
      <c r="F16" s="8">
        <v>2</v>
      </c>
      <c r="G16" s="8">
        <v>3</v>
      </c>
      <c r="H16" s="9" t="s">
        <v>131</v>
      </c>
      <c r="I16" s="9" t="s">
        <v>132</v>
      </c>
      <c r="J16" s="9" t="s">
        <v>133</v>
      </c>
      <c r="K16" s="7">
        <f t="shared" si="0"/>
        <v>54</v>
      </c>
      <c r="L16" s="7" t="str">
        <f t="shared" si="1"/>
        <v>Yes</v>
      </c>
      <c r="M16" s="10" t="s">
        <v>50</v>
      </c>
      <c r="N16" s="9" t="s">
        <v>134</v>
      </c>
      <c r="O16" s="6"/>
    </row>
    <row r="17" spans="1:15" ht="49.95" customHeight="1" x14ac:dyDescent="0.3">
      <c r="A17" s="7" t="s">
        <v>135</v>
      </c>
      <c r="B17" s="8" t="s">
        <v>136</v>
      </c>
      <c r="C17" s="9" t="s">
        <v>137</v>
      </c>
      <c r="D17" s="9" t="s">
        <v>138</v>
      </c>
      <c r="E17" s="8">
        <v>8</v>
      </c>
      <c r="F17" s="8">
        <v>6</v>
      </c>
      <c r="G17" s="8">
        <v>6</v>
      </c>
      <c r="H17" s="9" t="s">
        <v>139</v>
      </c>
      <c r="I17" s="9" t="s">
        <v>140</v>
      </c>
      <c r="J17" s="9" t="s">
        <v>141</v>
      </c>
      <c r="K17" s="7">
        <f t="shared" si="0"/>
        <v>288</v>
      </c>
      <c r="L17" s="7" t="str">
        <f t="shared" si="1"/>
        <v>Yes</v>
      </c>
      <c r="M17" s="10" t="s">
        <v>50</v>
      </c>
      <c r="N17" s="9" t="s">
        <v>142</v>
      </c>
      <c r="O17" s="6"/>
    </row>
    <row r="18" spans="1:15" ht="49.95" customHeight="1" x14ac:dyDescent="0.3">
      <c r="A18" s="7" t="s">
        <v>143</v>
      </c>
      <c r="B18" s="8" t="s">
        <v>144</v>
      </c>
      <c r="C18" s="9" t="s">
        <v>145</v>
      </c>
      <c r="D18" s="9" t="s">
        <v>146</v>
      </c>
      <c r="E18" s="8">
        <v>7</v>
      </c>
      <c r="F18" s="8">
        <v>5</v>
      </c>
      <c r="G18" s="8">
        <v>5</v>
      </c>
      <c r="H18" s="9" t="s">
        <v>147</v>
      </c>
      <c r="I18" s="9" t="s">
        <v>148</v>
      </c>
      <c r="J18" s="9" t="s">
        <v>149</v>
      </c>
      <c r="K18" s="7">
        <f t="shared" si="0"/>
        <v>175</v>
      </c>
      <c r="L18" s="7" t="str">
        <f t="shared" si="1"/>
        <v>Yes</v>
      </c>
      <c r="M18" s="10" t="s">
        <v>50</v>
      </c>
      <c r="N18" s="9" t="s">
        <v>150</v>
      </c>
      <c r="O18" s="6"/>
    </row>
    <row r="19" spans="1:15" ht="49.95" customHeight="1" x14ac:dyDescent="0.3">
      <c r="A19" s="7" t="s">
        <v>151</v>
      </c>
      <c r="B19" s="8" t="s">
        <v>152</v>
      </c>
      <c r="C19" s="9" t="s">
        <v>153</v>
      </c>
      <c r="D19" s="9" t="s">
        <v>154</v>
      </c>
      <c r="E19" s="8">
        <v>8</v>
      </c>
      <c r="F19" s="8">
        <v>5</v>
      </c>
      <c r="G19" s="8">
        <v>4</v>
      </c>
      <c r="H19" s="9" t="s">
        <v>155</v>
      </c>
      <c r="I19" s="9" t="s">
        <v>156</v>
      </c>
      <c r="J19" s="9" t="s">
        <v>157</v>
      </c>
      <c r="K19" s="7">
        <f t="shared" si="0"/>
        <v>160</v>
      </c>
      <c r="L19" s="7" t="str">
        <f t="shared" si="1"/>
        <v>Yes</v>
      </c>
      <c r="M19" s="10" t="s">
        <v>50</v>
      </c>
      <c r="N19" s="9" t="s">
        <v>158</v>
      </c>
      <c r="O19" s="6"/>
    </row>
    <row r="20" spans="1:15" ht="49.95" customHeight="1" x14ac:dyDescent="0.3">
      <c r="A20" s="7" t="s">
        <v>159</v>
      </c>
      <c r="B20" s="8" t="s">
        <v>44</v>
      </c>
      <c r="C20" s="9" t="s">
        <v>160</v>
      </c>
      <c r="D20" s="9" t="s">
        <v>161</v>
      </c>
      <c r="E20" s="8">
        <v>9</v>
      </c>
      <c r="F20" s="8">
        <v>2</v>
      </c>
      <c r="G20" s="8">
        <v>3</v>
      </c>
      <c r="H20" s="9" t="s">
        <v>162</v>
      </c>
      <c r="I20" s="9" t="s">
        <v>163</v>
      </c>
      <c r="J20" s="9" t="s">
        <v>164</v>
      </c>
      <c r="K20" s="7">
        <f t="shared" si="0"/>
        <v>54</v>
      </c>
      <c r="L20" s="7" t="str">
        <f t="shared" si="1"/>
        <v>Yes</v>
      </c>
      <c r="M20" s="10" t="s">
        <v>50</v>
      </c>
      <c r="N20" s="9" t="s">
        <v>165</v>
      </c>
      <c r="O20" s="6"/>
    </row>
    <row r="21" spans="1:15" ht="49.95" customHeight="1" x14ac:dyDescent="0.3">
      <c r="A21" s="7" t="s">
        <v>166</v>
      </c>
      <c r="B21" s="8" t="s">
        <v>90</v>
      </c>
      <c r="C21" s="9" t="s">
        <v>167</v>
      </c>
      <c r="D21" s="9" t="s">
        <v>168</v>
      </c>
      <c r="E21" s="8">
        <v>8</v>
      </c>
      <c r="F21" s="8">
        <v>3</v>
      </c>
      <c r="G21" s="8">
        <v>4</v>
      </c>
      <c r="H21" s="9" t="s">
        <v>169</v>
      </c>
      <c r="I21" s="9" t="s">
        <v>170</v>
      </c>
      <c r="J21" s="9" t="s">
        <v>171</v>
      </c>
      <c r="K21" s="7">
        <f t="shared" si="0"/>
        <v>96</v>
      </c>
      <c r="L21" s="7" t="str">
        <f t="shared" si="1"/>
        <v>Monitor</v>
      </c>
      <c r="M21" s="11" t="s">
        <v>172</v>
      </c>
      <c r="N21" s="9" t="s">
        <v>173</v>
      </c>
      <c r="O21" s="6"/>
    </row>
    <row r="22" spans="1:15" ht="49.95" customHeight="1" x14ac:dyDescent="0.3">
      <c r="A22" s="7" t="s">
        <v>174</v>
      </c>
      <c r="B22" s="8" t="s">
        <v>121</v>
      </c>
      <c r="C22" s="9" t="s">
        <v>175</v>
      </c>
      <c r="D22" s="9" t="s">
        <v>176</v>
      </c>
      <c r="E22" s="8">
        <v>6</v>
      </c>
      <c r="F22" s="8">
        <v>3</v>
      </c>
      <c r="G22" s="8">
        <v>2</v>
      </c>
      <c r="H22" s="9" t="s">
        <v>177</v>
      </c>
      <c r="I22" s="9" t="s">
        <v>178</v>
      </c>
      <c r="J22" s="9" t="s">
        <v>179</v>
      </c>
      <c r="K22" s="7">
        <f t="shared" si="0"/>
        <v>36</v>
      </c>
      <c r="L22" s="7" t="str">
        <f t="shared" si="1"/>
        <v>Monitor</v>
      </c>
      <c r="M22" s="10" t="s">
        <v>50</v>
      </c>
      <c r="N22" s="9" t="s">
        <v>180</v>
      </c>
      <c r="O22" s="6"/>
    </row>
    <row r="23" spans="1:15" ht="15" customHeight="1" x14ac:dyDescent="0.3">
      <c r="A23" s="13"/>
      <c r="B23" s="14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3">
      <c r="A25" s="15" t="s">
        <v>181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6"/>
    </row>
    <row r="26" spans="1:15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6"/>
    </row>
    <row r="27" spans="1:15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</sheetData>
  <autoFilter ref="A4:N22" xr:uid="{00000000-0009-0000-0000-000002000000}"/>
  <mergeCells count="1">
    <mergeCell ref="A25:N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workbookViewId="0">
      <pane xSplit="3" ySplit="4" topLeftCell="D5" activePane="bottomRight" state="frozen"/>
      <selection pane="topRight"/>
      <selection pane="bottomLeft"/>
      <selection pane="bottomRight" activeCell="A4" sqref="A4"/>
    </sheetView>
  </sheetViews>
  <sheetFormatPr defaultRowHeight="14.4" x14ac:dyDescent="0.3"/>
  <cols>
    <col min="1" max="1" width="10" customWidth="1"/>
    <col min="2" max="2" width="15" customWidth="1"/>
    <col min="3" max="3" width="32" customWidth="1"/>
    <col min="4" max="4" width="12" customWidth="1"/>
    <col min="5" max="5" width="46" customWidth="1"/>
    <col min="6" max="6" width="14" customWidth="1"/>
    <col min="7" max="7" width="46" customWidth="1"/>
    <col min="8" max="8" width="12" customWidth="1"/>
    <col min="9" max="9" width="46" customWidth="1"/>
    <col min="10" max="10" width="14" customWidth="1"/>
    <col min="11" max="11" width="48" customWidth="1"/>
  </cols>
  <sheetData>
    <row r="1" spans="1:11" ht="24" customHeight="1" x14ac:dyDescent="0.3">
      <c r="A1" s="18" t="s">
        <v>182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8" customHeight="1" x14ac:dyDescent="0.3">
      <c r="A2" s="17" t="s">
        <v>183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x14ac:dyDescent="0.3">
      <c r="A3" t="s">
        <v>315</v>
      </c>
    </row>
    <row r="4" spans="1:11" s="20" customFormat="1" ht="28.05" customHeight="1" x14ac:dyDescent="0.3">
      <c r="A4" s="5" t="s">
        <v>29</v>
      </c>
      <c r="B4" s="5" t="s">
        <v>30</v>
      </c>
      <c r="C4" s="5" t="s">
        <v>31</v>
      </c>
      <c r="D4" s="5" t="s">
        <v>184</v>
      </c>
      <c r="E4" s="5" t="s">
        <v>185</v>
      </c>
      <c r="F4" s="5" t="s">
        <v>186</v>
      </c>
      <c r="G4" s="5" t="s">
        <v>187</v>
      </c>
      <c r="H4" s="5" t="s">
        <v>188</v>
      </c>
      <c r="I4" s="5" t="s">
        <v>189</v>
      </c>
      <c r="J4" s="5" t="s">
        <v>190</v>
      </c>
      <c r="K4" s="5" t="s">
        <v>191</v>
      </c>
    </row>
    <row r="5" spans="1:11" ht="55.95" customHeight="1" x14ac:dyDescent="0.3">
      <c r="A5" s="7" t="s">
        <v>43</v>
      </c>
      <c r="B5" s="8" t="s">
        <v>44</v>
      </c>
      <c r="C5" s="9" t="s">
        <v>45</v>
      </c>
      <c r="D5" s="7">
        <v>9</v>
      </c>
      <c r="E5" s="9" t="s">
        <v>192</v>
      </c>
      <c r="F5" s="7">
        <v>3</v>
      </c>
      <c r="G5" s="9" t="s">
        <v>193</v>
      </c>
      <c r="H5" s="7">
        <v>4</v>
      </c>
      <c r="I5" s="9" t="s">
        <v>194</v>
      </c>
      <c r="J5" s="7">
        <v>108</v>
      </c>
      <c r="K5" s="9" t="s">
        <v>195</v>
      </c>
    </row>
    <row r="6" spans="1:11" ht="55.95" customHeight="1" x14ac:dyDescent="0.3">
      <c r="A6" s="7" t="s">
        <v>52</v>
      </c>
      <c r="B6" s="8" t="s">
        <v>44</v>
      </c>
      <c r="C6" s="9" t="s">
        <v>53</v>
      </c>
      <c r="D6" s="7">
        <v>8</v>
      </c>
      <c r="E6" s="9" t="s">
        <v>196</v>
      </c>
      <c r="F6" s="7">
        <v>4</v>
      </c>
      <c r="G6" s="9" t="s">
        <v>197</v>
      </c>
      <c r="H6" s="7">
        <v>4</v>
      </c>
      <c r="I6" s="9" t="s">
        <v>198</v>
      </c>
      <c r="J6" s="7">
        <v>128</v>
      </c>
      <c r="K6" s="9" t="s">
        <v>199</v>
      </c>
    </row>
    <row r="7" spans="1:11" ht="55.95" customHeight="1" x14ac:dyDescent="0.3">
      <c r="A7" s="7" t="s">
        <v>59</v>
      </c>
      <c r="B7" s="8" t="s">
        <v>44</v>
      </c>
      <c r="C7" s="9" t="s">
        <v>60</v>
      </c>
      <c r="D7" s="7">
        <v>8</v>
      </c>
      <c r="E7" s="9" t="s">
        <v>200</v>
      </c>
      <c r="F7" s="7">
        <v>4</v>
      </c>
      <c r="G7" s="9" t="s">
        <v>201</v>
      </c>
      <c r="H7" s="7">
        <v>5</v>
      </c>
      <c r="I7" s="9" t="s">
        <v>202</v>
      </c>
      <c r="J7" s="7">
        <v>160</v>
      </c>
      <c r="K7" s="9" t="s">
        <v>203</v>
      </c>
    </row>
    <row r="8" spans="1:11" ht="55.95" customHeight="1" x14ac:dyDescent="0.3">
      <c r="A8" s="7" t="s">
        <v>66</v>
      </c>
      <c r="B8" s="8" t="s">
        <v>44</v>
      </c>
      <c r="C8" s="9" t="s">
        <v>67</v>
      </c>
      <c r="D8" s="7">
        <v>8</v>
      </c>
      <c r="E8" s="9" t="s">
        <v>204</v>
      </c>
      <c r="F8" s="7">
        <v>5</v>
      </c>
      <c r="G8" s="9" t="s">
        <v>205</v>
      </c>
      <c r="H8" s="7">
        <v>4</v>
      </c>
      <c r="I8" s="9" t="s">
        <v>206</v>
      </c>
      <c r="J8" s="7">
        <v>160</v>
      </c>
      <c r="K8" s="9" t="s">
        <v>207</v>
      </c>
    </row>
    <row r="9" spans="1:11" ht="55.95" customHeight="1" x14ac:dyDescent="0.3">
      <c r="A9" s="7" t="s">
        <v>73</v>
      </c>
      <c r="B9" s="8" t="s">
        <v>44</v>
      </c>
      <c r="C9" s="9" t="s">
        <v>74</v>
      </c>
      <c r="D9" s="7">
        <v>6</v>
      </c>
      <c r="E9" s="9" t="s">
        <v>208</v>
      </c>
      <c r="F9" s="7">
        <v>3</v>
      </c>
      <c r="G9" s="9" t="s">
        <v>209</v>
      </c>
      <c r="H9" s="7">
        <v>6</v>
      </c>
      <c r="I9" s="9" t="s">
        <v>210</v>
      </c>
      <c r="J9" s="7">
        <v>108</v>
      </c>
      <c r="K9" s="9" t="s">
        <v>211</v>
      </c>
    </row>
    <row r="10" spans="1:11" ht="55.95" customHeight="1" x14ac:dyDescent="0.3">
      <c r="A10" s="7" t="s">
        <v>80</v>
      </c>
      <c r="B10" s="8" t="s">
        <v>81</v>
      </c>
      <c r="C10" s="9" t="s">
        <v>82</v>
      </c>
      <c r="D10" s="7">
        <v>9</v>
      </c>
      <c r="E10" s="9" t="s">
        <v>212</v>
      </c>
      <c r="F10" s="7">
        <v>4</v>
      </c>
      <c r="G10" s="9" t="s">
        <v>213</v>
      </c>
      <c r="H10" s="7">
        <v>7</v>
      </c>
      <c r="I10" s="9" t="s">
        <v>214</v>
      </c>
      <c r="J10" s="7">
        <v>252</v>
      </c>
      <c r="K10" s="9" t="s">
        <v>215</v>
      </c>
    </row>
    <row r="11" spans="1:11" ht="55.95" customHeight="1" x14ac:dyDescent="0.3">
      <c r="A11" s="7" t="s">
        <v>89</v>
      </c>
      <c r="B11" s="8" t="s">
        <v>90</v>
      </c>
      <c r="C11" s="9" t="s">
        <v>91</v>
      </c>
      <c r="D11" s="7">
        <v>9</v>
      </c>
      <c r="E11" s="9" t="s">
        <v>216</v>
      </c>
      <c r="F11" s="7">
        <v>5</v>
      </c>
      <c r="G11" s="9" t="s">
        <v>217</v>
      </c>
      <c r="H11" s="7">
        <v>6</v>
      </c>
      <c r="I11" s="9" t="s">
        <v>218</v>
      </c>
      <c r="J11" s="7">
        <v>270</v>
      </c>
      <c r="K11" s="9" t="s">
        <v>219</v>
      </c>
    </row>
    <row r="12" spans="1:11" ht="55.95" customHeight="1" x14ac:dyDescent="0.3">
      <c r="A12" s="7" t="s">
        <v>97</v>
      </c>
      <c r="B12" s="8" t="s">
        <v>90</v>
      </c>
      <c r="C12" s="9" t="s">
        <v>98</v>
      </c>
      <c r="D12" s="7">
        <v>8</v>
      </c>
      <c r="E12" s="9" t="s">
        <v>220</v>
      </c>
      <c r="F12" s="7">
        <v>4</v>
      </c>
      <c r="G12" s="9" t="s">
        <v>221</v>
      </c>
      <c r="H12" s="7">
        <v>8</v>
      </c>
      <c r="I12" s="9" t="s">
        <v>222</v>
      </c>
      <c r="J12" s="7">
        <v>256</v>
      </c>
      <c r="K12" s="9" t="s">
        <v>223</v>
      </c>
    </row>
    <row r="13" spans="1:11" ht="55.95" customHeight="1" x14ac:dyDescent="0.3">
      <c r="A13" s="7" t="s">
        <v>105</v>
      </c>
      <c r="B13" s="8" t="s">
        <v>90</v>
      </c>
      <c r="C13" s="9" t="s">
        <v>106</v>
      </c>
      <c r="D13" s="7">
        <v>7</v>
      </c>
      <c r="E13" s="9" t="s">
        <v>224</v>
      </c>
      <c r="F13" s="7">
        <v>5</v>
      </c>
      <c r="G13" s="9" t="s">
        <v>225</v>
      </c>
      <c r="H13" s="7">
        <v>4</v>
      </c>
      <c r="I13" s="9" t="s">
        <v>226</v>
      </c>
      <c r="J13" s="7">
        <v>140</v>
      </c>
      <c r="K13" s="9" t="s">
        <v>227</v>
      </c>
    </row>
    <row r="14" spans="1:11" ht="55.95" customHeight="1" x14ac:dyDescent="0.3">
      <c r="A14" s="7" t="s">
        <v>112</v>
      </c>
      <c r="B14" s="8" t="s">
        <v>113</v>
      </c>
      <c r="C14" s="9" t="s">
        <v>114</v>
      </c>
      <c r="D14" s="7">
        <v>9</v>
      </c>
      <c r="E14" s="9" t="s">
        <v>228</v>
      </c>
      <c r="F14" s="7">
        <v>3</v>
      </c>
      <c r="G14" s="9" t="s">
        <v>229</v>
      </c>
      <c r="H14" s="7">
        <v>5</v>
      </c>
      <c r="I14" s="9" t="s">
        <v>230</v>
      </c>
      <c r="J14" s="7">
        <v>135</v>
      </c>
      <c r="K14" s="9" t="s">
        <v>231</v>
      </c>
    </row>
    <row r="15" spans="1:11" ht="55.95" customHeight="1" x14ac:dyDescent="0.3">
      <c r="A15" s="7" t="s">
        <v>120</v>
      </c>
      <c r="B15" s="8" t="s">
        <v>121</v>
      </c>
      <c r="C15" s="9" t="s">
        <v>122</v>
      </c>
      <c r="D15" s="7">
        <v>10</v>
      </c>
      <c r="E15" s="9" t="s">
        <v>232</v>
      </c>
      <c r="F15" s="7">
        <v>2</v>
      </c>
      <c r="G15" s="9" t="s">
        <v>233</v>
      </c>
      <c r="H15" s="7">
        <v>2</v>
      </c>
      <c r="I15" s="9" t="s">
        <v>234</v>
      </c>
      <c r="J15" s="7">
        <v>40</v>
      </c>
      <c r="K15" s="9" t="s">
        <v>235</v>
      </c>
    </row>
    <row r="16" spans="1:11" ht="55.95" customHeight="1" x14ac:dyDescent="0.3">
      <c r="A16" s="7" t="s">
        <v>128</v>
      </c>
      <c r="B16" s="8" t="s">
        <v>121</v>
      </c>
      <c r="C16" s="9" t="s">
        <v>129</v>
      </c>
      <c r="D16" s="7">
        <v>9</v>
      </c>
      <c r="E16" s="9" t="s">
        <v>236</v>
      </c>
      <c r="F16" s="7">
        <v>2</v>
      </c>
      <c r="G16" s="9" t="s">
        <v>237</v>
      </c>
      <c r="H16" s="7">
        <v>3</v>
      </c>
      <c r="I16" s="9" t="s">
        <v>238</v>
      </c>
      <c r="J16" s="7">
        <v>54</v>
      </c>
      <c r="K16" s="9" t="s">
        <v>239</v>
      </c>
    </row>
    <row r="17" spans="1:11" ht="55.95" customHeight="1" x14ac:dyDescent="0.3">
      <c r="A17" s="7" t="s">
        <v>135</v>
      </c>
      <c r="B17" s="8" t="s">
        <v>136</v>
      </c>
      <c r="C17" s="9" t="s">
        <v>137</v>
      </c>
      <c r="D17" s="7">
        <v>8</v>
      </c>
      <c r="E17" s="9" t="s">
        <v>240</v>
      </c>
      <c r="F17" s="7">
        <v>6</v>
      </c>
      <c r="G17" s="9" t="s">
        <v>241</v>
      </c>
      <c r="H17" s="7">
        <v>6</v>
      </c>
      <c r="I17" s="9" t="s">
        <v>242</v>
      </c>
      <c r="J17" s="7">
        <v>288</v>
      </c>
      <c r="K17" s="9" t="s">
        <v>243</v>
      </c>
    </row>
    <row r="18" spans="1:11" ht="55.95" customHeight="1" x14ac:dyDescent="0.3">
      <c r="A18" s="7" t="s">
        <v>143</v>
      </c>
      <c r="B18" s="8" t="s">
        <v>144</v>
      </c>
      <c r="C18" s="9" t="s">
        <v>145</v>
      </c>
      <c r="D18" s="7">
        <v>7</v>
      </c>
      <c r="E18" s="9" t="s">
        <v>244</v>
      </c>
      <c r="F18" s="7">
        <v>5</v>
      </c>
      <c r="G18" s="9" t="s">
        <v>245</v>
      </c>
      <c r="H18" s="7">
        <v>5</v>
      </c>
      <c r="I18" s="9" t="s">
        <v>246</v>
      </c>
      <c r="J18" s="7">
        <v>175</v>
      </c>
      <c r="K18" s="9" t="s">
        <v>247</v>
      </c>
    </row>
    <row r="19" spans="1:11" ht="55.95" customHeight="1" x14ac:dyDescent="0.3">
      <c r="A19" s="7" t="s">
        <v>151</v>
      </c>
      <c r="B19" s="8" t="s">
        <v>152</v>
      </c>
      <c r="C19" s="9" t="s">
        <v>153</v>
      </c>
      <c r="D19" s="7">
        <v>8</v>
      </c>
      <c r="E19" s="9" t="s">
        <v>248</v>
      </c>
      <c r="F19" s="7">
        <v>5</v>
      </c>
      <c r="G19" s="9" t="s">
        <v>249</v>
      </c>
      <c r="H19" s="7">
        <v>4</v>
      </c>
      <c r="I19" s="9" t="s">
        <v>250</v>
      </c>
      <c r="J19" s="7">
        <v>160</v>
      </c>
      <c r="K19" s="9" t="s">
        <v>251</v>
      </c>
    </row>
    <row r="20" spans="1:11" ht="55.95" customHeight="1" x14ac:dyDescent="0.3">
      <c r="A20" s="7" t="s">
        <v>159</v>
      </c>
      <c r="B20" s="8" t="s">
        <v>44</v>
      </c>
      <c r="C20" s="9" t="s">
        <v>160</v>
      </c>
      <c r="D20" s="7">
        <v>9</v>
      </c>
      <c r="E20" s="9" t="s">
        <v>252</v>
      </c>
      <c r="F20" s="7">
        <v>2</v>
      </c>
      <c r="G20" s="9" t="s">
        <v>253</v>
      </c>
      <c r="H20" s="7">
        <v>3</v>
      </c>
      <c r="I20" s="9" t="s">
        <v>254</v>
      </c>
      <c r="J20" s="7">
        <v>54</v>
      </c>
      <c r="K20" s="9" t="s">
        <v>255</v>
      </c>
    </row>
    <row r="21" spans="1:11" ht="55.95" customHeight="1" x14ac:dyDescent="0.3">
      <c r="A21" s="7" t="s">
        <v>166</v>
      </c>
      <c r="B21" s="8" t="s">
        <v>90</v>
      </c>
      <c r="C21" s="9" t="s">
        <v>167</v>
      </c>
      <c r="D21" s="7">
        <v>8</v>
      </c>
      <c r="E21" s="9" t="s">
        <v>256</v>
      </c>
      <c r="F21" s="7">
        <v>3</v>
      </c>
      <c r="G21" s="9" t="s">
        <v>257</v>
      </c>
      <c r="H21" s="7">
        <v>4</v>
      </c>
      <c r="I21" s="9" t="s">
        <v>258</v>
      </c>
      <c r="J21" s="7">
        <v>96</v>
      </c>
      <c r="K21" s="9" t="s">
        <v>259</v>
      </c>
    </row>
    <row r="22" spans="1:11" ht="55.95" customHeight="1" x14ac:dyDescent="0.3">
      <c r="A22" s="7" t="s">
        <v>174</v>
      </c>
      <c r="B22" s="8" t="s">
        <v>121</v>
      </c>
      <c r="C22" s="9" t="s">
        <v>175</v>
      </c>
      <c r="D22" s="7">
        <v>6</v>
      </c>
      <c r="E22" s="9" t="s">
        <v>260</v>
      </c>
      <c r="F22" s="7">
        <v>3</v>
      </c>
      <c r="G22" s="9" t="s">
        <v>261</v>
      </c>
      <c r="H22" s="7">
        <v>2</v>
      </c>
      <c r="I22" s="9" t="s">
        <v>262</v>
      </c>
      <c r="J22" s="7">
        <v>36</v>
      </c>
      <c r="K22" s="9" t="s">
        <v>263</v>
      </c>
    </row>
  </sheetData>
  <autoFilter ref="A4:K22" xr:uid="{00000000-0009-0000-0000-000003000000}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32" customWidth="1"/>
    <col min="2" max="2" width="46" customWidth="1"/>
    <col min="3" max="3" width="19.109375" customWidth="1"/>
    <col min="4" max="4" width="56" customWidth="1"/>
  </cols>
  <sheetData>
    <row r="1" spans="1:4" ht="17.399999999999999" customHeight="1" x14ac:dyDescent="0.3">
      <c r="A1" s="1" t="s">
        <v>264</v>
      </c>
    </row>
    <row r="4" spans="1:4" s="20" customFormat="1" ht="39.6" x14ac:dyDescent="0.3">
      <c r="A4" s="19" t="s">
        <v>36</v>
      </c>
      <c r="B4" s="19" t="s">
        <v>265</v>
      </c>
      <c r="C4" s="19" t="s">
        <v>266</v>
      </c>
      <c r="D4" s="19" t="s">
        <v>267</v>
      </c>
    </row>
    <row r="5" spans="1:4" ht="42" customHeight="1" x14ac:dyDescent="0.3">
      <c r="A5" s="4" t="s">
        <v>268</v>
      </c>
      <c r="B5" s="4" t="s">
        <v>269</v>
      </c>
      <c r="C5" s="4" t="s">
        <v>270</v>
      </c>
      <c r="D5" s="4" t="s">
        <v>271</v>
      </c>
    </row>
    <row r="6" spans="1:4" ht="42" customHeight="1" x14ac:dyDescent="0.3">
      <c r="A6" s="4" t="s">
        <v>272</v>
      </c>
      <c r="B6" s="4" t="s">
        <v>273</v>
      </c>
      <c r="C6" s="4" t="s">
        <v>274</v>
      </c>
      <c r="D6" s="4" t="s">
        <v>275</v>
      </c>
    </row>
    <row r="7" spans="1:4" ht="42" customHeight="1" x14ac:dyDescent="0.3">
      <c r="A7" s="4" t="s">
        <v>276</v>
      </c>
      <c r="B7" s="4" t="s">
        <v>277</v>
      </c>
      <c r="C7" s="4" t="s">
        <v>278</v>
      </c>
      <c r="D7" s="4" t="s">
        <v>279</v>
      </c>
    </row>
    <row r="8" spans="1:4" ht="42" customHeight="1" x14ac:dyDescent="0.3">
      <c r="A8" s="4" t="s">
        <v>280</v>
      </c>
      <c r="B8" s="4" t="s">
        <v>281</v>
      </c>
      <c r="C8" s="4" t="s">
        <v>282</v>
      </c>
      <c r="D8" s="4" t="s">
        <v>283</v>
      </c>
    </row>
    <row r="9" spans="1:4" ht="42" customHeight="1" x14ac:dyDescent="0.3">
      <c r="A9" s="4" t="s">
        <v>284</v>
      </c>
      <c r="B9" s="4" t="s">
        <v>285</v>
      </c>
      <c r="C9" s="4" t="s">
        <v>286</v>
      </c>
      <c r="D9" s="4" t="s">
        <v>287</v>
      </c>
    </row>
    <row r="10" spans="1:4" ht="42" customHeight="1" x14ac:dyDescent="0.3">
      <c r="A10" s="4" t="s">
        <v>288</v>
      </c>
      <c r="B10" s="4" t="s">
        <v>289</v>
      </c>
      <c r="C10" s="4" t="s">
        <v>290</v>
      </c>
      <c r="D10" s="4" t="s">
        <v>291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17.109375" customWidth="1"/>
    <col min="2" max="2" width="52" customWidth="1"/>
    <col min="3" max="3" width="36" customWidth="1"/>
    <col min="4" max="4" width="40" customWidth="1"/>
  </cols>
  <sheetData>
    <row r="1" spans="1:4" ht="17.399999999999999" customHeight="1" x14ac:dyDescent="0.3">
      <c r="A1" s="1" t="s">
        <v>292</v>
      </c>
    </row>
    <row r="2" spans="1:4" ht="15" customHeight="1" x14ac:dyDescent="0.3">
      <c r="A2" s="2" t="s">
        <v>293</v>
      </c>
    </row>
    <row r="4" spans="1:4" s="20" customFormat="1" ht="15" customHeight="1" x14ac:dyDescent="0.3">
      <c r="A4" s="19" t="s">
        <v>294</v>
      </c>
      <c r="B4" s="19" t="s">
        <v>295</v>
      </c>
      <c r="C4" s="19" t="s">
        <v>296</v>
      </c>
      <c r="D4" s="19" t="s">
        <v>297</v>
      </c>
    </row>
    <row r="5" spans="1:4" ht="33.75" customHeight="1" x14ac:dyDescent="0.3">
      <c r="A5" s="4" t="s">
        <v>298</v>
      </c>
      <c r="B5" s="4" t="s">
        <v>299</v>
      </c>
      <c r="C5" s="4" t="s">
        <v>300</v>
      </c>
      <c r="D5" s="4" t="s">
        <v>301</v>
      </c>
    </row>
    <row r="6" spans="1:4" ht="33.75" customHeight="1" x14ac:dyDescent="0.3">
      <c r="A6" s="4" t="s">
        <v>302</v>
      </c>
      <c r="B6" s="4" t="s">
        <v>303</v>
      </c>
      <c r="C6" s="4" t="s">
        <v>304</v>
      </c>
      <c r="D6" s="4" t="s">
        <v>305</v>
      </c>
    </row>
    <row r="7" spans="1:4" ht="33.75" customHeight="1" x14ac:dyDescent="0.3">
      <c r="A7" s="4" t="s">
        <v>278</v>
      </c>
      <c r="B7" s="4" t="s">
        <v>306</v>
      </c>
      <c r="C7" s="4" t="s">
        <v>307</v>
      </c>
      <c r="D7" s="4" t="s">
        <v>308</v>
      </c>
    </row>
    <row r="8" spans="1:4" ht="33.75" customHeight="1" x14ac:dyDescent="0.3">
      <c r="A8" s="4" t="s">
        <v>274</v>
      </c>
      <c r="B8" s="4" t="s">
        <v>309</v>
      </c>
      <c r="C8" s="4" t="s">
        <v>310</v>
      </c>
      <c r="D8" s="4" t="s">
        <v>311</v>
      </c>
    </row>
    <row r="9" spans="1:4" ht="33.75" customHeight="1" x14ac:dyDescent="0.3">
      <c r="A9" s="4" t="s">
        <v>270</v>
      </c>
      <c r="B9" s="4" t="s">
        <v>312</v>
      </c>
      <c r="C9" s="4" t="s">
        <v>313</v>
      </c>
      <c r="D9" s="4" t="s">
        <v>314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VERSION-CONTROL</vt:lpstr>
      <vt:lpstr>FMEA</vt:lpstr>
      <vt:lpstr>RATIONALE-REGISTER</vt:lpstr>
      <vt:lpstr>DETECTION-METHODS</vt:lpstr>
      <vt:lpstr>SCORING-GUIDE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Rity Shree</cp:lastModifiedBy>
  <cp:revision>0</cp:revision>
  <dcterms:created xsi:type="dcterms:W3CDTF">2026-09-13T08:59:15Z</dcterms:created>
  <dcterms:modified xsi:type="dcterms:W3CDTF">2026-09-14T02:36:28Z</dcterms:modified>
  <dc:language>en-US</dc:language>
</cp:coreProperties>
</file>