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ityshree\Desktop\"/>
    </mc:Choice>
  </mc:AlternateContent>
  <xr:revisionPtr revIDLastSave="0" documentId="13_ncr:1_{E78C4F96-57E2-4718-9DCE-70B3061E3CE0}" xr6:coauthVersionLast="47" xr6:coauthVersionMax="47" xr10:uidLastSave="{00000000-0000-0000-0000-000000000000}"/>
  <bookViews>
    <workbookView xWindow="-108" yWindow="-108" windowWidth="23256" windowHeight="12720" xr2:uid="{00000000-000D-0000-FFFF-FFFF00000000}"/>
  </bookViews>
  <sheets>
    <sheet name="README" sheetId="1" r:id="rId1"/>
    <sheet name="VERSION-CONTROL" sheetId="2" r:id="rId2"/>
    <sheet name="PHASES" sheetId="3" r:id="rId3"/>
    <sheet name="ARTEFACT-DELIVERY" sheetId="4" r:id="rId4"/>
    <sheet name="DEPENDENCIES" sheetId="5" r:id="rId5"/>
    <sheet name="MILESTONES" sheetId="6" r:id="rId6"/>
    <sheet name="WORKPLAN" sheetId="7" r:id="rId7"/>
    <sheet name="FORWARD-PLAN" sheetId="8"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 i="4" l="1"/>
</calcChain>
</file>

<file path=xl/sharedStrings.xml><?xml version="1.0" encoding="utf-8"?>
<sst xmlns="http://schemas.openxmlformats.org/spreadsheetml/2006/main" count="491" uniqueCount="340">
  <si>
    <t>IMPLEMENTATION ROADMAP</t>
  </si>
  <si>
    <t>Credit Decisioning Assistant (CDA) Framework — Artefact A-27, v1.3 | Enterprise Governance Design Artefact</t>
  </si>
  <si>
    <t>FIELD</t>
  </si>
  <si>
    <t>DETAIL</t>
  </si>
  <si>
    <t>PURPOSE</t>
  </si>
  <si>
    <t>Phased delivery plan, stage-gate sequencing, milestone schedule, and forward operational roadmap for the AI governance framework and the Credit Decisioning Assistant system it controls.</t>
  </si>
  <si>
    <t>SYSTEM GOVERNED</t>
  </si>
  <si>
    <t>Credit Decisioning Assistant (CDA) — hybrid deterministic XGBoost scoring + AWS Bedrock (Claude) RAG narration supporting retail credit decisions (~870,000 annual applicants).</t>
  </si>
  <si>
    <t>SCOPE BOUNDARY</t>
  </si>
  <si>
    <t>This artefact records what is planned, delivered, and scheduled across lifecycle phases P1 to P9. It defines target delivery windows and operational variance. It does not record individual gate vote approvals — that is Lifecycle Gate Approval Log (A-28). The separation was introduced deliberately: a roadmap carrying approvals becomes the operative governance record by default, which is not what a plan is for.</t>
  </si>
  <si>
    <t>SEQUENCING PRINCIPLE</t>
  </si>
  <si>
    <t>Decision points (D1 to D7) and stage gates cannot be resequenced or compressed under commercial delivery pressure. Each decision consumes the verified technical output of the preceding stage, and taking them out of order produces severe latent compliance defects that are costly to unwind (as demonstrated at Gate 2).</t>
  </si>
  <si>
    <t>HONEST VARIANCE &amp; RATINGS</t>
  </si>
  <si>
    <t>Phase 2 shows the 11-day slip resulting from the Gate 2 fairness block (DIR 0.67 -&gt; 0.89). A roadmap that never slipped is a roadmap that was rewritten after the fact. Governance maturity is tracked at 2.6/5 baseline, with Independent Assurance (D12) at 1/5 scheduled for third-line audit delivery in Q1 2027.</t>
  </si>
  <si>
    <t>REGULATORY BASIS</t>
  </si>
  <si>
    <t>EU AI Act Art. 9, 14, 15, 26; ISO/IEC 42001 Cl. 6 &amp; 8; NIST AI RMF GOVERN; MAS TRM Ch. 3; MAS FEAT Accountability.</t>
  </si>
  <si>
    <t>VERSION AND APPROVAL HISTORY</t>
  </si>
  <si>
    <t>VERSION</t>
  </si>
  <si>
    <t>DATE</t>
  </si>
  <si>
    <t>AUTHOR</t>
  </si>
  <si>
    <t>REVIEWER</t>
  </si>
  <si>
    <t>APPROVER</t>
  </si>
  <si>
    <t>STATUS</t>
  </si>
  <si>
    <t>CHANGE SUMMARY</t>
  </si>
  <si>
    <t>v1.0</t>
  </si>
  <si>
    <t>2026-01-20</t>
  </si>
  <si>
    <t>AI Governance Lead</t>
  </si>
  <si>
    <t>—</t>
  </si>
  <si>
    <t>AI Governance Committee</t>
  </si>
  <si>
    <t>Superseded</t>
  </si>
  <si>
    <t>Initial implementation roadmap.</t>
  </si>
  <si>
    <t>v1.1</t>
  </si>
  <si>
    <t>2026-03-25</t>
  </si>
  <si>
    <t>Risk</t>
  </si>
  <si>
    <t>Replan following the Gate 2 (D2) fairness block and 11-day remediation slip.</t>
  </si>
  <si>
    <t>v1.2</t>
  </si>
  <si>
    <t>2026-09-10</t>
  </si>
  <si>
    <t>Risk; Project Lead</t>
  </si>
  <si>
    <t>Pending</t>
  </si>
  <si>
    <t>Approvals removed to A-28; artefact delivery and forward plan added.</t>
  </si>
  <si>
    <t>DELIVERY PHASES — DUAL-TRACK LIFECYCLE</t>
  </si>
  <si>
    <t>Phase 2 shows the replan. A roadmap that never slipped is a roadmap that was rewritten after the fact.</t>
  </si>
  <si>
    <t>REF</t>
  </si>
  <si>
    <t>PHASE NAME</t>
  </si>
  <si>
    <t>DELIVERY SCOPE &amp; KEY ACTIONS</t>
  </si>
  <si>
    <t>PLANNED START</t>
  </si>
  <si>
    <t>PLANNED END</t>
  </si>
  <si>
    <t>ACTUAL END</t>
  </si>
  <si>
    <t>DECISION POINT</t>
  </si>
  <si>
    <t>VARIANCE &amp; REMEDIATION NOTE</t>
  </si>
  <si>
    <t>P1</t>
  </si>
  <si>
    <t>Foundation</t>
  </si>
  <si>
    <t>Governance committee stood up; apex policy approved; use case screened and classified under EU AI Act Annex III 5b; UC-002 rejected.</t>
  </si>
  <si>
    <t>2026-01-15</t>
  </si>
  <si>
    <t>2026-01-28</t>
  </si>
  <si>
    <t>Complete</t>
  </si>
  <si>
    <t>D1 (Gate 1)</t>
  </si>
  <si>
    <t>On plan. Use case screening D1 completed on schedule.</t>
  </si>
  <si>
    <t>P2</t>
  </si>
  <si>
    <t>Data Governance</t>
  </si>
  <si>
    <t>Corpus curated and ingested; provenance recorded; counterfactual fairness testing designed and executed.</t>
  </si>
  <si>
    <t>2026-02-01</t>
  </si>
  <si>
    <t>2026-02-21</t>
  </si>
  <si>
    <t>2026-03-04</t>
  </si>
  <si>
    <t>D2 (Gate 2)</t>
  </si>
  <si>
    <t>SLIPPED 11 DAYS — Fairness test failed at DIR 0.67 due to postal metadata. Gate 2 halted; field deleted, prompt Q2.4 added, re-test achieved 0.89.</t>
  </si>
  <si>
    <t>P3</t>
  </si>
  <si>
    <t>Model Selection</t>
  </si>
  <si>
    <t>Weighted criteria agreed; foundation model candidates assessed (G-01 to G-07); vendor due diligence checklist executed.</t>
  </si>
  <si>
    <t>2026-02-24</t>
  </si>
  <si>
    <t>2026-03-11</t>
  </si>
  <si>
    <t>D3 (Gate 3)</t>
  </si>
  <si>
    <t>On plan. Ran partly in parallel with P2 fairness remediation once data boundary was established.</t>
  </si>
  <si>
    <t>P4</t>
  </si>
  <si>
    <t>Controls &amp; Oversight</t>
  </si>
  <si>
    <t>Control set specified and tested; underwriter 4-check oversight procedure written; customer recourse procedure created.</t>
  </si>
  <si>
    <t>2026-03-05</t>
  </si>
  <si>
    <t>2026-03-20</t>
  </si>
  <si>
    <t>D4 (Gate 4)</t>
  </si>
  <si>
    <t>Scope expanded — self-review identified absence of adverse-action customer recourse route; A-37 created before gate sign-off.</t>
  </si>
  <si>
    <t>P5</t>
  </si>
  <si>
    <t>Deployment</t>
  </si>
  <si>
    <t>Enforcement layer tested (ENF-01 active denial); kill switch tested (&lt;4 mins); bounded pilot go-live authorized (500 apps).</t>
  </si>
  <si>
    <t>2026-03-21</t>
  </si>
  <si>
    <t>D5 (Gate 5)</t>
  </si>
  <si>
    <t>On plan. Released strictly for 500 retail credit applications.</t>
  </si>
  <si>
    <t>P6</t>
  </si>
  <si>
    <t>Monitoring &amp; Response</t>
  </si>
  <si>
    <t>Real-time telemetry baselines captured (PSI, Brier score, override band); monitoring dashboard live; incident playbook populated.</t>
  </si>
  <si>
    <t>2026-03-26</t>
  </si>
  <si>
    <t>2026-04-24</t>
  </si>
  <si>
    <t>D6 (Continuous)</t>
  </si>
  <si>
    <t>On plan. Ungoverned-access alarm and kill-switch runbooks operational.</t>
  </si>
  <si>
    <t>P7</t>
  </si>
  <si>
    <t>Steady State &amp; BCP</t>
  </si>
  <si>
    <t>Quarterly governance reviews; continuous drift telemetry; quarterly fairness re-tests; provider deprecation watch; 7-year WORM retention plan.</t>
  </si>
  <si>
    <t>2026-04-25</t>
  </si>
  <si>
    <t>Ongoing</t>
  </si>
  <si>
    <t>Active</t>
  </si>
  <si>
    <t>D7 (Retirement / BCP)</t>
  </si>
  <si>
    <t>Ongoing. D7 plan approved at go-live; operational kill switch verified.</t>
  </si>
  <si>
    <t>P8</t>
  </si>
  <si>
    <t>Model Migration</t>
  </si>
  <si>
    <t>Successor foundation model version testing and cutover ahead of AWS Bedrock provider deprecation notice.</t>
  </si>
  <si>
    <t>2026-09-01</t>
  </si>
  <si>
    <t>2026-11-20</t>
  </si>
  <si>
    <t>In Progress</t>
  </si>
  <si>
    <t>Migration Cutover</t>
  </si>
  <si>
    <t>Fixed external deadline. Evaluating successor model under G-01 to G-07 with full regression and fairness harness.</t>
  </si>
  <si>
    <t>P9</t>
  </si>
  <si>
    <t>Rollout Decision</t>
  </si>
  <si>
    <t>Formal Board Risk Committee deliberation on extending CDA deployment beyond 500-application pilot ceiling.</t>
  </si>
  <si>
    <t>2027-01-15</t>
  </si>
  <si>
    <t>2027-02-15</t>
  </si>
  <si>
    <t>Planned</t>
  </si>
  <si>
    <t>New D5 (Commercial)</t>
  </si>
  <si>
    <t>Must be a deliberate decision based on pilot telemetry; continuing beyond 500 applications without authorization is a control breach.</t>
  </si>
  <si>
    <t>⚠  Governance Integrity Note: Phase 2 slipped 11 days because the pre-declared fairness test failed. The slip is recorded as an authentic variance rather than absorbed into an artificial baseline. A governance framework that blocks non-compliant deployments will inevitably affect project schedules, and concealing that fact destroys the evidence that governance works.</t>
  </si>
  <si>
    <t>ARTEFACT DELIVERY BY PHASE — FULL 44-ARTEFACT LEDGER</t>
  </si>
  <si>
    <t>Which artefacts each phase delivered across the lifecycle. Fully reconciled to the 44-artefact master governance index.</t>
  </si>
  <si>
    <t>PHASE</t>
  </si>
  <si>
    <t>GOVERNANCE ARTEFACTS DELIVERED</t>
  </si>
  <si>
    <t>ARTEFACT COUNT</t>
  </si>
  <si>
    <t>PHASE STATUS</t>
  </si>
  <si>
    <t>A-01 Use Case Inventory, A-02 System Inventory, A-03 Risk Classification, A-04 System Profile, A-05 Stakeholder Matrix, A-06 Maturity Self-Assessment, A-07 Algorithmic Impact Assessment, A-23 AI Governance Policy, A-25 AI Governance Strategy, A-26 Governance Committee Charter, A-42 Ethics Committee Charter</t>
  </si>
  <si>
    <t>A-08 Risk Identification Checklist, A-13 Data Governance &amp; Privacy Policy, A-14 Data Lineage &amp; Provenance, A-15 Explainability &amp; Bias Testing Report, A-35 PANOPTIC DPIA</t>
  </si>
  <si>
    <t>Complete (Post-Remediation)</t>
  </si>
  <si>
    <t>A-16 Vendor Assessment Plan, A-17 Vendor Due Diligence Checklist, A-18 AI Model Registry, A-19 System Model Card</t>
  </si>
  <si>
    <t>A-09 Risk Register, A-10 FMEA, A-11 Risk Treatment Plan, A-12 Risk Management Policy, A-20 Responsible AI Policy, A-21 Internal GenAI AUP, A-22 Workforce GenAI AUP, A-24 Compliance Tracker, A-36 Human Oversight Procedure, A-37 Customer Recourse Procedure, A-38 AI Literacy Record, A-39 Red Teaming &amp; Threat Matrix</t>
  </si>
  <si>
    <t>A-27 Implementation Roadmap, A-28 Lifecycle Gate Approval Log, A-29 Executive Briefing, A-34 AI Kill Switch Provision, A-44 Business Continuity &amp; Operational Resilience Playbook</t>
  </si>
  <si>
    <t>A-30 Post-Deployment Monitoring Policy, A-31 AI Audit Charter, A-32 Incident Response Playbook, A-33 Dashboard &amp; Rollback Log, A-40 Model Change &amp; Deprecation Log, A-43 Governance Maturity Tracker</t>
  </si>
  <si>
    <t>A-41 Decommissioning &amp; Records Retention Plan</t>
  </si>
  <si>
    <t>Complete (Approved at Go-Live)</t>
  </si>
  <si>
    <t>TOTAL</t>
  </si>
  <si>
    <t>All 44 Artefacts Fully Reconciled</t>
  </si>
  <si>
    <t>Master Governance Ledger (A-01 to A-44)</t>
  </si>
  <si>
    <t>100% Accounted</t>
  </si>
  <si>
    <t>LIFECYCLE SEQUENCING DEPENDENCIES (D1–D7)</t>
  </si>
  <si>
    <t>Why the decision point sequence cannot be altered or compressed. Taking steps out of order causes severe compliance failures.</t>
  </si>
  <si>
    <t>DECISION DEPENDENCY</t>
  </si>
  <si>
    <t>TECHNICAL &amp; GOVERNANCE RATIONALE</t>
  </si>
  <si>
    <t>WHAT BREAKS IF REVERSED / BYPASSED</t>
  </si>
  <si>
    <t>D1 before D2 (Tier before Data)</t>
  </si>
  <si>
    <t>Risk tier determines which statutory data obligations apply (EU AI Act Art. 10 vs general privacy).</t>
  </si>
  <si>
    <t>Data work is scoped to the wrong regulatory obligations; engineering rework is total.</t>
  </si>
  <si>
    <t>D2 before D3 (Data before Model)</t>
  </si>
  <si>
    <t>Corpus content and metadata purpose must be frozen and scrubbed before foundation model grounding fidelity can be assessed.</t>
  </si>
  <si>
    <t>Foundation model is evaluated against a moving or proxy-contaminated corpus; testing results become immediately invalid.</t>
  </si>
  <si>
    <t>D2 before D5 (Fairness before Go-Live)</t>
  </si>
  <si>
    <t>Demographic parity and disparate impact must pass pre-declared threshold (DIR &gt;= 0.80) before live customer traffic is authorized.</t>
  </si>
  <si>
    <t>Algorithmic bias is discovered post-launch, requiring emergency model shutdown, regulatory reporting, and costly credit re-adjudication.</t>
  </si>
  <si>
    <t>D3 before D4 (Model before Oversight)</t>
  </si>
  <si>
    <t>Foundation model behavior, error profiles, and regional constraints (R-12) must be known before underwriter oversight can be designed.</t>
  </si>
  <si>
    <t>Human reviewers are issued generic checklists that fail to inspect the system's actual failure modes or citation limitations.</t>
  </si>
  <si>
    <t>D4 before D5 (Oversight before Deployment)</t>
  </si>
  <si>
    <t>Four-point underwriter review procedures and customer adverse-action recourse routes (A-37) must be operational before first live decision.</t>
  </si>
  <si>
    <t>Declined retail credit applicants have no legally compliant route to challenge decisions, triggering immediate GDPR Art. 22 statutory breaches.</t>
  </si>
  <si>
    <t>D5 before D6 (Deployment before Monitoring)</t>
  </si>
  <si>
    <t>Baseline calibration (Brier score) and feature drift baselines (PSI) must be captured from validation partition prior to production traffic.</t>
  </si>
  <si>
    <t>Monitoring operates without statistical reference baselines; concept drift and feature degradation remain undetectable.</t>
  </si>
  <si>
    <t>D6 before D7 (Monitoring before Retirement)</t>
  </si>
  <si>
    <t>Operational suspension signals, IAM permission kill-switch policies, and circuit breakers must be active before production incidents occur.</t>
  </si>
  <si>
    <t>Emergency suspension authority must be negotiated during a live P1 breach; manual shutdown is delayed, causing widespread applicant harm.</t>
  </si>
  <si>
    <t>PROJECT 4 GOVERNANCE &amp; TECHNICAL MILESTONES</t>
  </si>
  <si>
    <t>Formal stage-gate milestones, delivery dates, accountable owners, sign-off authorities, and key evidencing artefacts (Roadmap1 alignment)</t>
  </si>
  <si>
    <t>MILESTONE ID</t>
  </si>
  <si>
    <t>MILESTONE NAME</t>
  </si>
  <si>
    <t>TARGET DATE</t>
  </si>
  <si>
    <t>ACTUAL DATE</t>
  </si>
  <si>
    <t>ACCOUNTABLE OWNER</t>
  </si>
  <si>
    <t>SIGN-OFF AUTHORITY</t>
  </si>
  <si>
    <t>DELIVERABLES &amp; ARTEFACTS</t>
  </si>
  <si>
    <t>VARIANCE / OPERATIONAL NOTES</t>
  </si>
  <si>
    <t>MS-01</t>
  </si>
  <si>
    <t>AI Governance Committee Constituted &amp; D1 Approval</t>
  </si>
  <si>
    <t>P1 Foundation</t>
  </si>
  <si>
    <t>Group CEO / CRO</t>
  </si>
  <si>
    <t>A-23, A-25, A-26, A-01, A-03</t>
  </si>
  <si>
    <t>On plan. CDA classified as Tier 1 High-Risk; autonomous use case UC-002 rejected.</t>
  </si>
  <si>
    <t>MS-02</t>
  </si>
  <si>
    <t>Data Governance &amp; Gate 2 Fairness Gating</t>
  </si>
  <si>
    <t>P2 Data Gov</t>
  </si>
  <si>
    <t>2026-02-17</t>
  </si>
  <si>
    <t>Blocked</t>
  </si>
  <si>
    <t>Model Risk / DPO</t>
  </si>
  <si>
    <t>A-13, A-14, A-15, A-35</t>
  </si>
  <si>
    <t>GATE 2 BLOCKED — Disparate Impact Ratio returned at 0.67 due to postal metadata. Progression halted.</t>
  </si>
  <si>
    <t>MS-03</t>
  </si>
  <si>
    <t>Gate 2 Remediation &amp; Release at DIR 0.89</t>
  </si>
  <si>
    <t>Model Risk / AI Lead</t>
  </si>
  <si>
    <t>A-15 Bias Report v2, A-28</t>
  </si>
  <si>
    <t>Slipped 11 days. Postal field deleted, prompt Q2.4 added. Re-test passed at DIR 0.89.</t>
  </si>
  <si>
    <t>MS-04</t>
  </si>
  <si>
    <t>Model Selection &amp; Architecture Gating (D3)</t>
  </si>
  <si>
    <t>P3 Model Select</t>
  </si>
  <si>
    <t>Security Architecture</t>
  </si>
  <si>
    <t>AIGC / Model Risk</t>
  </si>
  <si>
    <t>A-16, A-17, A-18, A-19</t>
  </si>
  <si>
    <t>On plan. AWS Bedrock selected for narration; XGBoost in-house scoring confirmed.</t>
  </si>
  <si>
    <t>MS-05</t>
  </si>
  <si>
    <t>Controls, Oversight &amp; Recourse Operationalized (D4)</t>
  </si>
  <si>
    <t>P4 Controls</t>
  </si>
  <si>
    <t>CRO / Legal</t>
  </si>
  <si>
    <t>A-09, A-11, A-36, A-37, A-39</t>
  </si>
  <si>
    <t>On plan. Recourse procedure (A-37) created; R-12 compensating control approved.</t>
  </si>
  <si>
    <t>MS-06</t>
  </si>
  <si>
    <t>Production Pilot Deployment Authorization (D5)</t>
  </si>
  <si>
    <t>P5 Deployment</t>
  </si>
  <si>
    <t>Head of Retail Lending</t>
  </si>
  <si>
    <t>AIGC &amp; Business Owner</t>
  </si>
  <si>
    <t>A-28, A-29, A-34, A-44</t>
  </si>
  <si>
    <t>On plan. Production traffic strictly bounded at 500 retail loan applications.</t>
  </si>
  <si>
    <t>MS-07</t>
  </si>
  <si>
    <t>Monitoring Baselines &amp; Incident Playbook Live (D6)</t>
  </si>
  <si>
    <t>P6 Monitoring</t>
  </si>
  <si>
    <t>CISO / MLOps Lead</t>
  </si>
  <si>
    <t>AIGC / SecOps</t>
  </si>
  <si>
    <t>A-30, A-31, A-32, A-33, A-40</t>
  </si>
  <si>
    <t>On plan. Real-time telemetry monitoring and 24-hr incident SLA active.</t>
  </si>
  <si>
    <t>MS-08</t>
  </si>
  <si>
    <t>Decommissioning &amp; S3 WORM Retention Approved (D7)</t>
  </si>
  <si>
    <t>P7 Steady State</t>
  </si>
  <si>
    <t>AIGC / DPO</t>
  </si>
  <si>
    <t>A-41 Retention Plan</t>
  </si>
  <si>
    <t>Approved at go-live. S3 Object Lock in Compliance Mode configured for 7 years.</t>
  </si>
  <si>
    <t>MS-09</t>
  </si>
  <si>
    <t>Q3 Live-Traffic Fairness &amp; Drift Re-Test</t>
  </si>
  <si>
    <t>2026-09-30</t>
  </si>
  <si>
    <t>Scheduled</t>
  </si>
  <si>
    <t>Head of Model Risk</t>
  </si>
  <si>
    <t>A-15, A-30 Telemetry Pack</t>
  </si>
  <si>
    <t>Quarterly scheduled re-test evaluating DIR and PSI drift on live pilot applications.</t>
  </si>
  <si>
    <t>MS-10</t>
  </si>
  <si>
    <t>Foundation Model Migration Cutover Ahead of Deprecation</t>
  </si>
  <si>
    <t>P8 Migration</t>
  </si>
  <si>
    <t>AI Governance Lead / CoE</t>
  </si>
  <si>
    <t>A-18, A-40 Change Log</t>
  </si>
  <si>
    <t>Successor foundation model evaluation under criteria G-01 to G-07; regression testing.</t>
  </si>
  <si>
    <t>MS-11</t>
  </si>
  <si>
    <t>Full Commercial Rollout Extension Decision</t>
  </si>
  <si>
    <t>P9 Rollout</t>
  </si>
  <si>
    <t>2027-01-31</t>
  </si>
  <si>
    <t>Accountable Business Owner</t>
  </si>
  <si>
    <t>Board Risk Committee</t>
  </si>
  <si>
    <t>Comprehensive Pilot Dossier</t>
  </si>
  <si>
    <t>Formal Board decision to extend CDA beyond 500 applications based on pilot audit.</t>
  </si>
  <si>
    <t>MS-12</t>
  </si>
  <si>
    <t>Independent Third-Line Internal Audit Pass (D12)</t>
  </si>
  <si>
    <t>Maturity Uplift</t>
  </si>
  <si>
    <t>2027-02-28</t>
  </si>
  <si>
    <t>Chief Audit Executive</t>
  </si>
  <si>
    <t>Board Audit Committee</t>
  </si>
  <si>
    <t>A-31 Audit Report</t>
  </si>
  <si>
    <t>Full independent effectiveness audit; required to advance D12 assurance from 1/5 to 3/5.</t>
  </si>
  <si>
    <t>DETAILED WORKPLAN AND WORK PACKAGES</t>
  </si>
  <si>
    <t>Work package breakdown, lead owners, operational dates, and key deliverable mapping (Gantt alignment)</t>
  </si>
  <si>
    <t>WP ID</t>
  </si>
  <si>
    <t>WORK PACKAGE NAME</t>
  </si>
  <si>
    <t>LIFECYCLE PHASE</t>
  </si>
  <si>
    <t>LEAD OWNER</t>
  </si>
  <si>
    <t>START DATE</t>
  </si>
  <si>
    <t>END DATE</t>
  </si>
  <si>
    <t>KEY DELIVERABLES &amp; GOVERNING ARTEFACTS</t>
  </si>
  <si>
    <t>WP-01</t>
  </si>
  <si>
    <t>Governance Operating Model &amp; Committee Setup</t>
  </si>
  <si>
    <t>A-23 AI Policy, A-25 Strategy, A-26 Governance Charter, A-42 Ethics Charter</t>
  </si>
  <si>
    <t>WP-02</t>
  </si>
  <si>
    <t>Use Case Intake, Classification &amp; Tiering</t>
  </si>
  <si>
    <t>A-01 Use Case Inventory, A-02 System Inventory, A-03 Tiering, A-04 Profile, A-05 Stakeholder Matrix</t>
  </si>
  <si>
    <t>WP-03</t>
  </si>
  <si>
    <t>Data Lineage, Provenance &amp; Privacy Assessment</t>
  </si>
  <si>
    <t>Data Protection Officer</t>
  </si>
  <si>
    <t>2026-02-15</t>
  </si>
  <si>
    <t>A-13 Data Governance Policy, A-14 Data Lineage, A-35 PANOPTIC DPIA</t>
  </si>
  <si>
    <t>WP-04</t>
  </si>
  <si>
    <t>Fairness Harness &amp; Counterfactual Testing</t>
  </si>
  <si>
    <t>2026-02-10</t>
  </si>
  <si>
    <t>A-15 Bias Testing Report (Gate 2 block at 0.67, remediated to 0.89), A-08 Checklist</t>
  </si>
  <si>
    <t>WP-05</t>
  </si>
  <si>
    <t>Foundation Model Sourcing &amp; Vendor Due Diligence</t>
  </si>
  <si>
    <t>A-16 Vendor Assessment Plan (Build vs Buy), A-17 Vendor Due Diligence, A-18 Model Registry</t>
  </si>
  <si>
    <t>WP-06</t>
  </si>
  <si>
    <t>Model Risk Validation &amp; Technical Card Documentation</t>
  </si>
  <si>
    <t>2026-03-01</t>
  </si>
  <si>
    <t>2026-03-18</t>
  </si>
  <si>
    <t>A-19 System Model Card (XGBoost + Bedrock Claude), A-18 MRM validation sign-off</t>
  </si>
  <si>
    <t>WP-07</t>
  </si>
  <si>
    <t>Safety Guardrails &amp; Adversarial Red-Teaming</t>
  </si>
  <si>
    <t>A-39 Red Teaming &amp; Threat Matrix, A-24 Compliance Tracker (GDR-01 to GDR-05, ENF-01)</t>
  </si>
  <si>
    <t>WP-08</t>
  </si>
  <si>
    <t>Human Oversight &amp; Adverse Action Recourse Setup</t>
  </si>
  <si>
    <t>Loan Operations / Legal</t>
  </si>
  <si>
    <t>2026-03-10</t>
  </si>
  <si>
    <t>A-36 Human Oversight Procedure, A-37 Adverse Action Recourse Procedure, A-38 Competency</t>
  </si>
  <si>
    <t>WP-09</t>
  </si>
  <si>
    <t>Deployment Gate Authorization &amp; Executive Briefing</t>
  </si>
  <si>
    <t>A-27 Roadmap, A-28 Gate Approval Log, A-29 Executive Briefing, A-34 Kill Switch, A-44 BCP</t>
  </si>
  <si>
    <t>WP-10</t>
  </si>
  <si>
    <t>Runtime Telemetry &amp; Operational Incident Playbook</t>
  </si>
  <si>
    <t>A-30 Monitoring Policy, A-32 Incident Playbook, A-33 Rollback Log, A-40 Change Log</t>
  </si>
  <si>
    <t>WP-11</t>
  </si>
  <si>
    <t>Successor Foundation Model Evaluation &amp; Cutover</t>
  </si>
  <si>
    <t>A-18 Selection Criteria re-verification, A-40 Model Change Log, successor regression suite</t>
  </si>
  <si>
    <t>WP-12</t>
  </si>
  <si>
    <t>Third-Line Independent Audit Preparation</t>
  </si>
  <si>
    <t>2026-11-01</t>
  </si>
  <si>
    <t>A-31 Audit Charter, independent re-performance files, WORM audit vault extraction drill</t>
  </si>
  <si>
    <t>FORWARD OPERATIONAL PLAN AND OPEN ACTIONS</t>
  </si>
  <si>
    <t>Active forward-looking commitments, review cadences, and open remediation items (reviewed quarterly by AIGC)</t>
  </si>
  <si>
    <t>ITEM</t>
  </si>
  <si>
    <t>DUE DATE</t>
  </si>
  <si>
    <t>OPERATIONAL DRIVER</t>
  </si>
  <si>
    <t>OPERATIONAL NOTE &amp; REMEDIATION RATIONALE</t>
  </si>
  <si>
    <t>Successor foundation model migration testing &amp; cutover</t>
  </si>
  <si>
    <t>Fixed external deadline — AWS Bedrock deprecation</t>
  </si>
  <si>
    <t>Evaluate successor candidate under criteria G-01 to G-07; execute full regression, grounding, and counterfactual fairness harness before cutover.</t>
  </si>
  <si>
    <t>Q3 Live-traffic fairness re-test</t>
  </si>
  <si>
    <t>Quarterly governance cadence</t>
  </si>
  <si>
    <t>Re-run bias tests BFT-002 through BFT-005 against live pilot applications to verify DIR remains &gt;= 0.80 under production demographic distribution.</t>
  </si>
  <si>
    <t>Overdue verification of three selection criteria (ACT-003)</t>
  </si>
  <si>
    <t>2026-09-25</t>
  </si>
  <si>
    <t>AI-CoE / Model Risk</t>
  </si>
  <si>
    <t>Governance currency (A-18)</t>
  </si>
  <si>
    <t>OVERDUE</t>
  </si>
  <si>
    <t>Criteria G-02 (regional availability), G-05 (citation fidelity), and G-07 (cost) expired 2026-05. Immediate re-verification required ahead of model migration cutover.</t>
  </si>
  <si>
    <t>Full commercial rollout decision beyond 500-app pilot</t>
  </si>
  <si>
    <t>Board Risk Committee / CRO</t>
  </si>
  <si>
    <t>Commercial governance boundary</t>
  </si>
  <si>
    <t>Not Scheduled</t>
  </si>
  <si>
    <t>Must be a formal deliberated decision based on pilot telemetry; continuing past 500 applications without explicit Board approval is a control breach.</t>
  </si>
  <si>
    <t>Commission third-line Internal Audit pass (D12)</t>
  </si>
  <si>
    <t>3LoD assurance independence</t>
  </si>
  <si>
    <t>Execute formal independent audit pass under Charter A-31 to independently test control effectiveness; advances D12 maturity from 1/5 to 3/5.</t>
  </si>
  <si>
    <t>Annual policy, charter, and risk classification review</t>
  </si>
  <si>
    <t>Annual governance review cadence</t>
  </si>
  <si>
    <t>Re-verify all statutory regulatory dates and requirements (EU AI Act, MAS TRM, GDPR) across the 44-artefact estate.</t>
  </si>
  <si>
    <t>Recreate four third-party reference artefacts as authored work</t>
  </si>
  <si>
    <t>2026-10-31</t>
  </si>
  <si>
    <t>Portfolio integrity</t>
  </si>
  <si>
    <t>Replaces legacy third-party templates with authentic enterprise designs: A-06 (Maturity Self-Assessment), A-07 (AIA), A-22 (Workforce AUP), A-34 (Kill Switch).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</si>
</sst>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3864"/>
      <name val="Arial"/>
      <family val="2"/>
    </font>
    <font>
      <i/>
      <sz val="10"/>
      <color rgb="FF595959"/>
      <name val="Arial"/>
      <family val="2"/>
    </font>
    <font>
      <b/>
      <sz val="10"/>
      <color rgb="FFFFFFFF"/>
      <name val="Arial"/>
      <family val="2"/>
    </font>
    <font>
      <b/>
      <sz val="9.5"/>
      <color rgb="FF000000"/>
      <name val="Arial"/>
      <family val="2"/>
    </font>
    <font>
      <sz val="9.5"/>
      <color rgb="FF000000"/>
      <name val="Arial"/>
      <family val="2"/>
    </font>
    <font>
      <i/>
      <sz val="9.5"/>
      <color rgb="FF9C0006"/>
      <name val="Arial"/>
      <family val="2"/>
    </font>
  </fonts>
  <fills count="7">
    <fill>
      <patternFill patternType="none"/>
    </fill>
    <fill>
      <patternFill patternType="gray125"/>
    </fill>
    <fill>
      <patternFill patternType="solid">
        <fgColor rgb="FF1F3864"/>
        <bgColor rgb="FF1F3864"/>
      </patternFill>
    </fill>
    <fill>
      <patternFill patternType="solid">
        <fgColor rgb="FFF2F4F7"/>
        <bgColor rgb="FFF2F4F7"/>
      </patternFill>
    </fill>
    <fill>
      <patternFill patternType="solid">
        <fgColor rgb="FFE2EFDA"/>
        <bgColor rgb="FFE2EFDA"/>
      </patternFill>
    </fill>
    <fill>
      <patternFill patternType="solid">
        <fgColor rgb="FFF8CBAD"/>
        <bgColor rgb="FFF8CBAD"/>
      </patternFill>
    </fill>
    <fill>
      <patternFill patternType="solid">
        <fgColor rgb="FFFFF2CC"/>
        <b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0" xfId="0" applyFont="1"/>
    <xf numFmtId="0" fontId="4" fillId="0" borderId="1" xfId="0" applyFont="1" applyBorder="1" applyAlignment="1">
      <alignment horizontal="left" vertical="center" wrapText="1"/>
    </xf>
    <xf numFmtId="0" fontId="4" fillId="3" borderId="1" xfId="0" applyFont="1" applyFill="1" applyBorder="1"/>
    <xf numFmtId="0" fontId="5" fillId="3" borderId="1" xfId="0" applyFont="1" applyFill="1" applyBorder="1"/>
    <xf numFmtId="0" fontId="4" fillId="5"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election activeCell="A4" sqref="A4"/>
    </sheetView>
  </sheetViews>
  <sheetFormatPr defaultRowHeight="14.4" x14ac:dyDescent="0.3"/>
  <cols>
    <col min="1" max="1" width="28" customWidth="1"/>
    <col min="2" max="2" width="112" customWidth="1"/>
  </cols>
  <sheetData>
    <row r="1" spans="1:2" ht="17.399999999999999" x14ac:dyDescent="0.3">
      <c r="A1" s="1" t="s">
        <v>0</v>
      </c>
    </row>
    <row r="2" spans="1:2" x14ac:dyDescent="0.3">
      <c r="A2" s="2" t="s">
        <v>1</v>
      </c>
    </row>
    <row r="4" spans="1:2" x14ac:dyDescent="0.3">
      <c r="A4" s="3" t="s">
        <v>2</v>
      </c>
      <c r="B4" s="3" t="s">
        <v>3</v>
      </c>
    </row>
    <row r="5" spans="1:2" ht="24" x14ac:dyDescent="0.3">
      <c r="A5" s="4" t="s">
        <v>4</v>
      </c>
      <c r="B5" s="5" t="s">
        <v>5</v>
      </c>
    </row>
    <row r="6" spans="1:2" ht="24" x14ac:dyDescent="0.3">
      <c r="A6" s="4" t="s">
        <v>6</v>
      </c>
      <c r="B6" s="5" t="s">
        <v>7</v>
      </c>
    </row>
    <row r="7" spans="1:2" ht="36" x14ac:dyDescent="0.3">
      <c r="A7" s="4" t="s">
        <v>8</v>
      </c>
      <c r="B7" s="5" t="s">
        <v>9</v>
      </c>
    </row>
    <row r="8" spans="1:2" ht="36" x14ac:dyDescent="0.3">
      <c r="A8" s="4" t="s">
        <v>10</v>
      </c>
      <c r="B8" s="5" t="s">
        <v>11</v>
      </c>
    </row>
    <row r="9" spans="1:2" ht="36" x14ac:dyDescent="0.3">
      <c r="A9" s="4" t="s">
        <v>12</v>
      </c>
      <c r="B9" s="5" t="s">
        <v>13</v>
      </c>
    </row>
    <row r="10" spans="1:2" x14ac:dyDescent="0.3">
      <c r="A10" s="4" t="s">
        <v>14</v>
      </c>
      <c r="B10" s="5"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workbookViewId="0">
      <selection activeCell="A4" sqref="A4"/>
    </sheetView>
  </sheetViews>
  <sheetFormatPr defaultRowHeight="14.4" x14ac:dyDescent="0.3"/>
  <cols>
    <col min="1" max="1" width="10" customWidth="1"/>
    <col min="2" max="2" width="13" customWidth="1"/>
    <col min="3" max="3" width="22" customWidth="1"/>
    <col min="4" max="4" width="26" customWidth="1"/>
    <col min="5" max="5" width="24" customWidth="1"/>
    <col min="6" max="6" width="14" customWidth="1"/>
    <col min="7" max="7" width="70" customWidth="1"/>
  </cols>
  <sheetData>
    <row r="1" spans="1:7" ht="17.399999999999999" x14ac:dyDescent="0.3">
      <c r="A1" s="1" t="s">
        <v>16</v>
      </c>
    </row>
    <row r="4" spans="1:7" x14ac:dyDescent="0.3">
      <c r="A4" s="3" t="s">
        <v>17</v>
      </c>
      <c r="B4" s="3" t="s">
        <v>18</v>
      </c>
      <c r="C4" s="3" t="s">
        <v>19</v>
      </c>
      <c r="D4" s="3" t="s">
        <v>20</v>
      </c>
      <c r="E4" s="3" t="s">
        <v>21</v>
      </c>
      <c r="F4" s="3" t="s">
        <v>22</v>
      </c>
      <c r="G4" s="3" t="s">
        <v>23</v>
      </c>
    </row>
    <row r="5" spans="1:7" x14ac:dyDescent="0.3">
      <c r="A5" s="6" t="s">
        <v>24</v>
      </c>
      <c r="B5" s="7" t="s">
        <v>25</v>
      </c>
      <c r="C5" s="5" t="s">
        <v>26</v>
      </c>
      <c r="D5" s="5" t="s">
        <v>27</v>
      </c>
      <c r="E5" s="5" t="s">
        <v>28</v>
      </c>
      <c r="F5" s="7" t="s">
        <v>29</v>
      </c>
      <c r="G5" s="5" t="s">
        <v>30</v>
      </c>
    </row>
    <row r="6" spans="1:7" x14ac:dyDescent="0.3">
      <c r="A6" s="6" t="s">
        <v>31</v>
      </c>
      <c r="B6" s="7" t="s">
        <v>32</v>
      </c>
      <c r="C6" s="5" t="s">
        <v>26</v>
      </c>
      <c r="D6" s="5" t="s">
        <v>33</v>
      </c>
      <c r="E6" s="5" t="s">
        <v>28</v>
      </c>
      <c r="F6" s="7" t="s">
        <v>29</v>
      </c>
      <c r="G6" s="5" t="s">
        <v>34</v>
      </c>
    </row>
    <row r="7" spans="1:7" x14ac:dyDescent="0.3">
      <c r="A7" s="6" t="s">
        <v>35</v>
      </c>
      <c r="B7" s="7" t="s">
        <v>36</v>
      </c>
      <c r="C7" s="5" t="s">
        <v>26</v>
      </c>
      <c r="D7" s="5" t="s">
        <v>37</v>
      </c>
      <c r="E7" s="5" t="s">
        <v>38</v>
      </c>
      <c r="F7" s="7" t="s">
        <v>29</v>
      </c>
      <c r="G7" s="5" t="s">
        <v>39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5"/>
  <sheetViews>
    <sheetView workbookViewId="0"/>
  </sheetViews>
  <sheetFormatPr defaultRowHeight="14.4" x14ac:dyDescent="0.3"/>
  <cols>
    <col min="1" max="1" width="8" customWidth="1"/>
    <col min="2" max="2" width="22" customWidth="1"/>
    <col min="3" max="3" width="50" customWidth="1"/>
    <col min="4" max="7" width="14" customWidth="1"/>
    <col min="8" max="8" width="18" customWidth="1"/>
    <col min="9" max="9" width="56" customWidth="1"/>
  </cols>
  <sheetData>
    <row r="1" spans="1:9" ht="17.399999999999999" x14ac:dyDescent="0.3">
      <c r="A1" s="1" t="s">
        <v>40</v>
      </c>
    </row>
    <row r="2" spans="1:9" x14ac:dyDescent="0.3">
      <c r="A2" s="2" t="s">
        <v>41</v>
      </c>
    </row>
    <row r="4" spans="1:9" ht="26.4" x14ac:dyDescent="0.3">
      <c r="A4" s="3" t="s">
        <v>42</v>
      </c>
      <c r="B4" s="3" t="s">
        <v>43</v>
      </c>
      <c r="C4" s="3" t="s">
        <v>44</v>
      </c>
      <c r="D4" s="3" t="s">
        <v>45</v>
      </c>
      <c r="E4" s="3" t="s">
        <v>46</v>
      </c>
      <c r="F4" s="3" t="s">
        <v>47</v>
      </c>
      <c r="G4" s="3" t="s">
        <v>22</v>
      </c>
      <c r="H4" s="3" t="s">
        <v>48</v>
      </c>
      <c r="I4" s="3" t="s">
        <v>49</v>
      </c>
    </row>
    <row r="5" spans="1:9" ht="36" x14ac:dyDescent="0.3">
      <c r="A5" s="6" t="s">
        <v>50</v>
      </c>
      <c r="B5" s="5" t="s">
        <v>51</v>
      </c>
      <c r="C5" s="5" t="s">
        <v>52</v>
      </c>
      <c r="D5" s="7" t="s">
        <v>53</v>
      </c>
      <c r="E5" s="7" t="s">
        <v>54</v>
      </c>
      <c r="F5" s="7" t="s">
        <v>54</v>
      </c>
      <c r="G5" s="9" t="s">
        <v>55</v>
      </c>
      <c r="H5" s="6" t="s">
        <v>56</v>
      </c>
      <c r="I5" s="5" t="s">
        <v>57</v>
      </c>
    </row>
    <row r="6" spans="1:9" ht="36" x14ac:dyDescent="0.3">
      <c r="A6" s="6" t="s">
        <v>58</v>
      </c>
      <c r="B6" s="5" t="s">
        <v>59</v>
      </c>
      <c r="C6" s="5" t="s">
        <v>60</v>
      </c>
      <c r="D6" s="7" t="s">
        <v>61</v>
      </c>
      <c r="E6" s="7" t="s">
        <v>62</v>
      </c>
      <c r="F6" s="7" t="s">
        <v>63</v>
      </c>
      <c r="G6" s="9" t="s">
        <v>55</v>
      </c>
      <c r="H6" s="6" t="s">
        <v>64</v>
      </c>
      <c r="I6" s="10" t="s">
        <v>65</v>
      </c>
    </row>
    <row r="7" spans="1:9" ht="36" x14ac:dyDescent="0.3">
      <c r="A7" s="6" t="s">
        <v>66</v>
      </c>
      <c r="B7" s="5" t="s">
        <v>67</v>
      </c>
      <c r="C7" s="5" t="s">
        <v>68</v>
      </c>
      <c r="D7" s="7" t="s">
        <v>69</v>
      </c>
      <c r="E7" s="7" t="s">
        <v>70</v>
      </c>
      <c r="F7" s="7" t="s">
        <v>70</v>
      </c>
      <c r="G7" s="9" t="s">
        <v>55</v>
      </c>
      <c r="H7" s="6" t="s">
        <v>71</v>
      </c>
      <c r="I7" s="5" t="s">
        <v>72</v>
      </c>
    </row>
    <row r="8" spans="1:9" ht="24" x14ac:dyDescent="0.3">
      <c r="A8" s="6" t="s">
        <v>73</v>
      </c>
      <c r="B8" s="5" t="s">
        <v>74</v>
      </c>
      <c r="C8" s="5" t="s">
        <v>75</v>
      </c>
      <c r="D8" s="7" t="s">
        <v>76</v>
      </c>
      <c r="E8" s="7" t="s">
        <v>77</v>
      </c>
      <c r="F8" s="7" t="s">
        <v>77</v>
      </c>
      <c r="G8" s="9" t="s">
        <v>55</v>
      </c>
      <c r="H8" s="6" t="s">
        <v>78</v>
      </c>
      <c r="I8" s="5" t="s">
        <v>79</v>
      </c>
    </row>
    <row r="9" spans="1:9" ht="24" x14ac:dyDescent="0.3">
      <c r="A9" s="6" t="s">
        <v>80</v>
      </c>
      <c r="B9" s="5" t="s">
        <v>81</v>
      </c>
      <c r="C9" s="5" t="s">
        <v>82</v>
      </c>
      <c r="D9" s="7" t="s">
        <v>83</v>
      </c>
      <c r="E9" s="7" t="s">
        <v>32</v>
      </c>
      <c r="F9" s="7" t="s">
        <v>32</v>
      </c>
      <c r="G9" s="9" t="s">
        <v>55</v>
      </c>
      <c r="H9" s="6" t="s">
        <v>84</v>
      </c>
      <c r="I9" s="5" t="s">
        <v>85</v>
      </c>
    </row>
    <row r="10" spans="1:9" ht="36" x14ac:dyDescent="0.3">
      <c r="A10" s="6" t="s">
        <v>86</v>
      </c>
      <c r="B10" s="5" t="s">
        <v>87</v>
      </c>
      <c r="C10" s="5" t="s">
        <v>88</v>
      </c>
      <c r="D10" s="7" t="s">
        <v>89</v>
      </c>
      <c r="E10" s="7" t="s">
        <v>90</v>
      </c>
      <c r="F10" s="7" t="s">
        <v>90</v>
      </c>
      <c r="G10" s="9" t="s">
        <v>55</v>
      </c>
      <c r="H10" s="6" t="s">
        <v>91</v>
      </c>
      <c r="I10" s="5" t="s">
        <v>92</v>
      </c>
    </row>
    <row r="11" spans="1:9" ht="36" x14ac:dyDescent="0.3">
      <c r="A11" s="6" t="s">
        <v>93</v>
      </c>
      <c r="B11" s="5" t="s">
        <v>94</v>
      </c>
      <c r="C11" s="5" t="s">
        <v>95</v>
      </c>
      <c r="D11" s="7" t="s">
        <v>96</v>
      </c>
      <c r="E11" s="7" t="s">
        <v>97</v>
      </c>
      <c r="F11" s="7" t="s">
        <v>27</v>
      </c>
      <c r="G11" s="11" t="s">
        <v>98</v>
      </c>
      <c r="H11" s="6" t="s">
        <v>99</v>
      </c>
      <c r="I11" s="5" t="s">
        <v>100</v>
      </c>
    </row>
    <row r="12" spans="1:9" ht="24" x14ac:dyDescent="0.3">
      <c r="A12" s="6" t="s">
        <v>101</v>
      </c>
      <c r="B12" s="5" t="s">
        <v>102</v>
      </c>
      <c r="C12" s="5" t="s">
        <v>103</v>
      </c>
      <c r="D12" s="7" t="s">
        <v>104</v>
      </c>
      <c r="E12" s="7" t="s">
        <v>105</v>
      </c>
      <c r="F12" s="7" t="s">
        <v>27</v>
      </c>
      <c r="G12" s="11" t="s">
        <v>106</v>
      </c>
      <c r="H12" s="6" t="s">
        <v>107</v>
      </c>
      <c r="I12" s="5" t="s">
        <v>108</v>
      </c>
    </row>
    <row r="13" spans="1:9" ht="25.2" x14ac:dyDescent="0.3">
      <c r="A13" s="6" t="s">
        <v>109</v>
      </c>
      <c r="B13" s="5" t="s">
        <v>110</v>
      </c>
      <c r="C13" s="5" t="s">
        <v>111</v>
      </c>
      <c r="D13" s="7" t="s">
        <v>112</v>
      </c>
      <c r="E13" s="7" t="s">
        <v>113</v>
      </c>
      <c r="F13" s="7" t="s">
        <v>27</v>
      </c>
      <c r="G13" s="12" t="s">
        <v>114</v>
      </c>
      <c r="H13" s="6" t="s">
        <v>115</v>
      </c>
      <c r="I13" s="5" t="s">
        <v>116</v>
      </c>
    </row>
    <row r="15" spans="1:9" x14ac:dyDescent="0.3">
      <c r="A15" s="13" t="s">
        <v>117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heetViews>
  <sheetFormatPr defaultRowHeight="14.4" x14ac:dyDescent="0.3"/>
  <cols>
    <col min="1" max="1" width="10" customWidth="1"/>
    <col min="2" max="2" width="24" customWidth="1"/>
    <col min="3" max="3" width="76" customWidth="1"/>
    <col min="4" max="4" width="16" customWidth="1"/>
    <col min="5" max="5" width="24" customWidth="1"/>
  </cols>
  <sheetData>
    <row r="1" spans="1:5" ht="17.399999999999999" x14ac:dyDescent="0.3">
      <c r="A1" s="1" t="s">
        <v>118</v>
      </c>
    </row>
    <row r="2" spans="1:5" x14ac:dyDescent="0.3">
      <c r="A2" s="2" t="s">
        <v>119</v>
      </c>
    </row>
    <row r="4" spans="1:5" ht="26.4" x14ac:dyDescent="0.3">
      <c r="A4" s="3" t="s">
        <v>120</v>
      </c>
      <c r="B4" s="3" t="s">
        <v>43</v>
      </c>
      <c r="C4" s="3" t="s">
        <v>121</v>
      </c>
      <c r="D4" s="3" t="s">
        <v>122</v>
      </c>
      <c r="E4" s="3" t="s">
        <v>123</v>
      </c>
    </row>
    <row r="5" spans="1:5" ht="48" x14ac:dyDescent="0.3">
      <c r="A5" s="6" t="s">
        <v>50</v>
      </c>
      <c r="B5" s="14" t="s">
        <v>51</v>
      </c>
      <c r="C5" s="5" t="s">
        <v>124</v>
      </c>
      <c r="D5" s="6">
        <v>11</v>
      </c>
      <c r="E5" s="8" t="s">
        <v>55</v>
      </c>
    </row>
    <row r="6" spans="1:5" ht="24" x14ac:dyDescent="0.3">
      <c r="A6" s="6" t="s">
        <v>58</v>
      </c>
      <c r="B6" s="14" t="s">
        <v>59</v>
      </c>
      <c r="C6" s="5" t="s">
        <v>125</v>
      </c>
      <c r="D6" s="6">
        <v>5</v>
      </c>
      <c r="E6" s="8" t="s">
        <v>126</v>
      </c>
    </row>
    <row r="7" spans="1:5" ht="24" x14ac:dyDescent="0.3">
      <c r="A7" s="6" t="s">
        <v>66</v>
      </c>
      <c r="B7" s="14" t="s">
        <v>67</v>
      </c>
      <c r="C7" s="5" t="s">
        <v>127</v>
      </c>
      <c r="D7" s="6">
        <v>4</v>
      </c>
      <c r="E7" s="8" t="s">
        <v>55</v>
      </c>
    </row>
    <row r="8" spans="1:5" ht="48" x14ac:dyDescent="0.3">
      <c r="A8" s="6" t="s">
        <v>73</v>
      </c>
      <c r="B8" s="14" t="s">
        <v>74</v>
      </c>
      <c r="C8" s="5" t="s">
        <v>128</v>
      </c>
      <c r="D8" s="6">
        <v>12</v>
      </c>
      <c r="E8" s="8" t="s">
        <v>55</v>
      </c>
    </row>
    <row r="9" spans="1:5" ht="24" x14ac:dyDescent="0.3">
      <c r="A9" s="6" t="s">
        <v>80</v>
      </c>
      <c r="B9" s="14" t="s">
        <v>81</v>
      </c>
      <c r="C9" s="5" t="s">
        <v>129</v>
      </c>
      <c r="D9" s="6">
        <v>5</v>
      </c>
      <c r="E9" s="8" t="s">
        <v>55</v>
      </c>
    </row>
    <row r="10" spans="1:5" ht="36" x14ac:dyDescent="0.3">
      <c r="A10" s="6" t="s">
        <v>86</v>
      </c>
      <c r="B10" s="14" t="s">
        <v>87</v>
      </c>
      <c r="C10" s="5" t="s">
        <v>130</v>
      </c>
      <c r="D10" s="6">
        <v>6</v>
      </c>
      <c r="E10" s="8" t="s">
        <v>55</v>
      </c>
    </row>
    <row r="11" spans="1:5" ht="24" x14ac:dyDescent="0.3">
      <c r="A11" s="6" t="s">
        <v>93</v>
      </c>
      <c r="B11" s="14" t="s">
        <v>94</v>
      </c>
      <c r="C11" s="5" t="s">
        <v>131</v>
      </c>
      <c r="D11" s="6">
        <v>1</v>
      </c>
      <c r="E11" s="8" t="s">
        <v>132</v>
      </c>
    </row>
    <row r="12" spans="1:5" x14ac:dyDescent="0.3">
      <c r="A12" s="12" t="s">
        <v>133</v>
      </c>
      <c r="B12" s="15" t="s">
        <v>134</v>
      </c>
      <c r="C12" s="16" t="s">
        <v>135</v>
      </c>
      <c r="D12" s="11">
        <f>SUM(D5:D11)</f>
        <v>44</v>
      </c>
      <c r="E12" s="9" t="s">
        <v>136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heetViews>
  <sheetFormatPr defaultRowHeight="14.4" x14ac:dyDescent="0.3"/>
  <cols>
    <col min="1" max="1" width="24" customWidth="1"/>
    <col min="2" max="2" width="52" customWidth="1"/>
    <col min="3" max="3" width="60" customWidth="1"/>
  </cols>
  <sheetData>
    <row r="1" spans="1:3" ht="17.399999999999999" x14ac:dyDescent="0.3">
      <c r="A1" s="1" t="s">
        <v>137</v>
      </c>
    </row>
    <row r="2" spans="1:3" x14ac:dyDescent="0.3">
      <c r="A2" s="2" t="s">
        <v>138</v>
      </c>
    </row>
    <row r="4" spans="1:3" x14ac:dyDescent="0.3">
      <c r="A4" s="3" t="s">
        <v>139</v>
      </c>
      <c r="B4" s="3" t="s">
        <v>140</v>
      </c>
      <c r="C4" s="3" t="s">
        <v>141</v>
      </c>
    </row>
    <row r="5" spans="1:3" ht="25.2" x14ac:dyDescent="0.3">
      <c r="A5" s="14" t="s">
        <v>142</v>
      </c>
      <c r="B5" s="5" t="s">
        <v>143</v>
      </c>
      <c r="C5" s="5" t="s">
        <v>144</v>
      </c>
    </row>
    <row r="6" spans="1:3" ht="36" x14ac:dyDescent="0.3">
      <c r="A6" s="14" t="s">
        <v>145</v>
      </c>
      <c r="B6" s="5" t="s">
        <v>146</v>
      </c>
      <c r="C6" s="5" t="s">
        <v>147</v>
      </c>
    </row>
    <row r="7" spans="1:3" ht="36" x14ac:dyDescent="0.3">
      <c r="A7" s="14" t="s">
        <v>148</v>
      </c>
      <c r="B7" s="5" t="s">
        <v>149</v>
      </c>
      <c r="C7" s="5" t="s">
        <v>150</v>
      </c>
    </row>
    <row r="8" spans="1:3" ht="36" x14ac:dyDescent="0.3">
      <c r="A8" s="14" t="s">
        <v>151</v>
      </c>
      <c r="B8" s="5" t="s">
        <v>152</v>
      </c>
      <c r="C8" s="5" t="s">
        <v>153</v>
      </c>
    </row>
    <row r="9" spans="1:3" ht="36" x14ac:dyDescent="0.3">
      <c r="A9" s="14" t="s">
        <v>154</v>
      </c>
      <c r="B9" s="5" t="s">
        <v>155</v>
      </c>
      <c r="C9" s="5" t="s">
        <v>156</v>
      </c>
    </row>
    <row r="10" spans="1:3" ht="36" x14ac:dyDescent="0.3">
      <c r="A10" s="14" t="s">
        <v>157</v>
      </c>
      <c r="B10" s="5" t="s">
        <v>158</v>
      </c>
      <c r="C10" s="5" t="s">
        <v>159</v>
      </c>
    </row>
    <row r="11" spans="1:3" ht="36" x14ac:dyDescent="0.3">
      <c r="A11" s="14" t="s">
        <v>160</v>
      </c>
      <c r="B11" s="5" t="s">
        <v>161</v>
      </c>
      <c r="C11" s="5" t="s">
        <v>162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6"/>
  <sheetViews>
    <sheetView workbookViewId="0"/>
  </sheetViews>
  <sheetFormatPr defaultRowHeight="14.4" x14ac:dyDescent="0.3"/>
  <cols>
    <col min="1" max="1" width="14" customWidth="1"/>
    <col min="2" max="2" width="32" customWidth="1"/>
    <col min="3" max="3" width="16" customWidth="1"/>
    <col min="4" max="6" width="14" customWidth="1"/>
    <col min="7" max="8" width="24" customWidth="1"/>
    <col min="9" max="9" width="32" customWidth="1"/>
    <col min="10" max="10" width="48" customWidth="1"/>
  </cols>
  <sheetData>
    <row r="1" spans="1:10" ht="17.399999999999999" x14ac:dyDescent="0.3">
      <c r="A1" s="1" t="s">
        <v>163</v>
      </c>
    </row>
    <row r="2" spans="1:10" x14ac:dyDescent="0.3">
      <c r="A2" s="2" t="s">
        <v>164</v>
      </c>
    </row>
    <row r="4" spans="1:10" x14ac:dyDescent="0.3">
      <c r="A4" s="3" t="s">
        <v>165</v>
      </c>
      <c r="B4" s="3" t="s">
        <v>166</v>
      </c>
      <c r="C4" s="3" t="s">
        <v>120</v>
      </c>
      <c r="D4" s="3" t="s">
        <v>167</v>
      </c>
      <c r="E4" s="3" t="s">
        <v>168</v>
      </c>
      <c r="F4" s="3" t="s">
        <v>22</v>
      </c>
      <c r="G4" s="3" t="s">
        <v>169</v>
      </c>
      <c r="H4" s="3" t="s">
        <v>170</v>
      </c>
      <c r="I4" s="3" t="s">
        <v>171</v>
      </c>
      <c r="J4" s="3" t="s">
        <v>172</v>
      </c>
    </row>
    <row r="5" spans="1:10" ht="25.2" x14ac:dyDescent="0.3">
      <c r="A5" s="6" t="s">
        <v>173</v>
      </c>
      <c r="B5" s="14" t="s">
        <v>174</v>
      </c>
      <c r="C5" s="7" t="s">
        <v>175</v>
      </c>
      <c r="D5" s="7" t="s">
        <v>54</v>
      </c>
      <c r="E5" s="7" t="s">
        <v>54</v>
      </c>
      <c r="F5" s="9" t="s">
        <v>55</v>
      </c>
      <c r="G5" s="5" t="s">
        <v>26</v>
      </c>
      <c r="H5" s="5" t="s">
        <v>176</v>
      </c>
      <c r="I5" s="5" t="s">
        <v>177</v>
      </c>
      <c r="J5" s="5" t="s">
        <v>178</v>
      </c>
    </row>
    <row r="6" spans="1:10" ht="25.2" x14ac:dyDescent="0.3">
      <c r="A6" s="6" t="s">
        <v>179</v>
      </c>
      <c r="B6" s="14" t="s">
        <v>180</v>
      </c>
      <c r="C6" s="7" t="s">
        <v>181</v>
      </c>
      <c r="D6" s="7" t="s">
        <v>62</v>
      </c>
      <c r="E6" s="7" t="s">
        <v>182</v>
      </c>
      <c r="F6" s="17" t="s">
        <v>183</v>
      </c>
      <c r="G6" s="5" t="s">
        <v>184</v>
      </c>
      <c r="H6" s="5" t="s">
        <v>28</v>
      </c>
      <c r="I6" s="5" t="s">
        <v>185</v>
      </c>
      <c r="J6" s="5" t="s">
        <v>186</v>
      </c>
    </row>
    <row r="7" spans="1:10" ht="25.2" x14ac:dyDescent="0.3">
      <c r="A7" s="6" t="s">
        <v>187</v>
      </c>
      <c r="B7" s="14" t="s">
        <v>188</v>
      </c>
      <c r="C7" s="7" t="s">
        <v>181</v>
      </c>
      <c r="D7" s="7" t="s">
        <v>63</v>
      </c>
      <c r="E7" s="7" t="s">
        <v>63</v>
      </c>
      <c r="F7" s="9" t="s">
        <v>55</v>
      </c>
      <c r="G7" s="5" t="s">
        <v>189</v>
      </c>
      <c r="H7" s="5" t="s">
        <v>28</v>
      </c>
      <c r="I7" s="5" t="s">
        <v>190</v>
      </c>
      <c r="J7" s="5" t="s">
        <v>191</v>
      </c>
    </row>
    <row r="8" spans="1:10" ht="25.2" x14ac:dyDescent="0.3">
      <c r="A8" s="6" t="s">
        <v>192</v>
      </c>
      <c r="B8" s="14" t="s">
        <v>193</v>
      </c>
      <c r="C8" s="7" t="s">
        <v>194</v>
      </c>
      <c r="D8" s="7" t="s">
        <v>70</v>
      </c>
      <c r="E8" s="7" t="s">
        <v>70</v>
      </c>
      <c r="F8" s="9" t="s">
        <v>55</v>
      </c>
      <c r="G8" s="5" t="s">
        <v>195</v>
      </c>
      <c r="H8" s="5" t="s">
        <v>196</v>
      </c>
      <c r="I8" s="5" t="s">
        <v>197</v>
      </c>
      <c r="J8" s="5" t="s">
        <v>198</v>
      </c>
    </row>
    <row r="9" spans="1:10" ht="25.2" x14ac:dyDescent="0.3">
      <c r="A9" s="6" t="s">
        <v>199</v>
      </c>
      <c r="B9" s="14" t="s">
        <v>200</v>
      </c>
      <c r="C9" s="7" t="s">
        <v>201</v>
      </c>
      <c r="D9" s="7" t="s">
        <v>77</v>
      </c>
      <c r="E9" s="7" t="s">
        <v>77</v>
      </c>
      <c r="F9" s="9" t="s">
        <v>55</v>
      </c>
      <c r="G9" s="5" t="s">
        <v>26</v>
      </c>
      <c r="H9" s="5" t="s">
        <v>202</v>
      </c>
      <c r="I9" s="5" t="s">
        <v>203</v>
      </c>
      <c r="J9" s="5" t="s">
        <v>204</v>
      </c>
    </row>
    <row r="10" spans="1:10" ht="25.2" x14ac:dyDescent="0.3">
      <c r="A10" s="6" t="s">
        <v>205</v>
      </c>
      <c r="B10" s="14" t="s">
        <v>206</v>
      </c>
      <c r="C10" s="7" t="s">
        <v>207</v>
      </c>
      <c r="D10" s="7" t="s">
        <v>32</v>
      </c>
      <c r="E10" s="7" t="s">
        <v>32</v>
      </c>
      <c r="F10" s="9" t="s">
        <v>55</v>
      </c>
      <c r="G10" s="5" t="s">
        <v>208</v>
      </c>
      <c r="H10" s="5" t="s">
        <v>209</v>
      </c>
      <c r="I10" s="5" t="s">
        <v>210</v>
      </c>
      <c r="J10" s="5" t="s">
        <v>211</v>
      </c>
    </row>
    <row r="11" spans="1:10" ht="25.2" x14ac:dyDescent="0.3">
      <c r="A11" s="6" t="s">
        <v>212</v>
      </c>
      <c r="B11" s="14" t="s">
        <v>213</v>
      </c>
      <c r="C11" s="7" t="s">
        <v>214</v>
      </c>
      <c r="D11" s="7" t="s">
        <v>90</v>
      </c>
      <c r="E11" s="7" t="s">
        <v>90</v>
      </c>
      <c r="F11" s="9" t="s">
        <v>55</v>
      </c>
      <c r="G11" s="5" t="s">
        <v>215</v>
      </c>
      <c r="H11" s="5" t="s">
        <v>216</v>
      </c>
      <c r="I11" s="5" t="s">
        <v>217</v>
      </c>
      <c r="J11" s="5" t="s">
        <v>218</v>
      </c>
    </row>
    <row r="12" spans="1:10" ht="25.2" x14ac:dyDescent="0.3">
      <c r="A12" s="6" t="s">
        <v>219</v>
      </c>
      <c r="B12" s="14" t="s">
        <v>220</v>
      </c>
      <c r="C12" s="7" t="s">
        <v>221</v>
      </c>
      <c r="D12" s="7" t="s">
        <v>32</v>
      </c>
      <c r="E12" s="7" t="s">
        <v>32</v>
      </c>
      <c r="F12" s="9" t="s">
        <v>55</v>
      </c>
      <c r="G12" s="5" t="s">
        <v>26</v>
      </c>
      <c r="H12" s="5" t="s">
        <v>222</v>
      </c>
      <c r="I12" s="5" t="s">
        <v>223</v>
      </c>
      <c r="J12" s="5" t="s">
        <v>224</v>
      </c>
    </row>
    <row r="13" spans="1:10" ht="25.2" x14ac:dyDescent="0.3">
      <c r="A13" s="6" t="s">
        <v>225</v>
      </c>
      <c r="B13" s="14" t="s">
        <v>226</v>
      </c>
      <c r="C13" s="7" t="s">
        <v>221</v>
      </c>
      <c r="D13" s="7" t="s">
        <v>227</v>
      </c>
      <c r="E13" s="7" t="s">
        <v>27</v>
      </c>
      <c r="F13" s="11" t="s">
        <v>228</v>
      </c>
      <c r="G13" s="5" t="s">
        <v>229</v>
      </c>
      <c r="H13" s="5" t="s">
        <v>28</v>
      </c>
      <c r="I13" s="5" t="s">
        <v>230</v>
      </c>
      <c r="J13" s="5" t="s">
        <v>231</v>
      </c>
    </row>
    <row r="14" spans="1:10" ht="25.2" x14ac:dyDescent="0.3">
      <c r="A14" s="6" t="s">
        <v>232</v>
      </c>
      <c r="B14" s="14" t="s">
        <v>233</v>
      </c>
      <c r="C14" s="7" t="s">
        <v>234</v>
      </c>
      <c r="D14" s="7" t="s">
        <v>105</v>
      </c>
      <c r="E14" s="7" t="s">
        <v>27</v>
      </c>
      <c r="F14" s="11" t="s">
        <v>106</v>
      </c>
      <c r="G14" s="5" t="s">
        <v>235</v>
      </c>
      <c r="H14" s="5" t="s">
        <v>196</v>
      </c>
      <c r="I14" s="5" t="s">
        <v>236</v>
      </c>
      <c r="J14" s="5" t="s">
        <v>237</v>
      </c>
    </row>
    <row r="15" spans="1:10" ht="25.2" x14ac:dyDescent="0.3">
      <c r="A15" s="6" t="s">
        <v>238</v>
      </c>
      <c r="B15" s="14" t="s">
        <v>239</v>
      </c>
      <c r="C15" s="7" t="s">
        <v>240</v>
      </c>
      <c r="D15" s="7" t="s">
        <v>241</v>
      </c>
      <c r="E15" s="7" t="s">
        <v>27</v>
      </c>
      <c r="F15" s="12" t="s">
        <v>114</v>
      </c>
      <c r="G15" s="5" t="s">
        <v>242</v>
      </c>
      <c r="H15" s="5" t="s">
        <v>243</v>
      </c>
      <c r="I15" s="5" t="s">
        <v>244</v>
      </c>
      <c r="J15" s="5" t="s">
        <v>245</v>
      </c>
    </row>
    <row r="16" spans="1:10" ht="25.2" x14ac:dyDescent="0.3">
      <c r="A16" s="6" t="s">
        <v>246</v>
      </c>
      <c r="B16" s="14" t="s">
        <v>247</v>
      </c>
      <c r="C16" s="7" t="s">
        <v>248</v>
      </c>
      <c r="D16" s="7" t="s">
        <v>249</v>
      </c>
      <c r="E16" s="7" t="s">
        <v>27</v>
      </c>
      <c r="F16" s="12" t="s">
        <v>114</v>
      </c>
      <c r="G16" s="5" t="s">
        <v>250</v>
      </c>
      <c r="H16" s="5" t="s">
        <v>251</v>
      </c>
      <c r="I16" s="5" t="s">
        <v>252</v>
      </c>
      <c r="J16" s="5" t="s">
        <v>253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6"/>
  <sheetViews>
    <sheetView workbookViewId="0"/>
  </sheetViews>
  <sheetFormatPr defaultRowHeight="14.4" x14ac:dyDescent="0.3"/>
  <cols>
    <col min="1" max="1" width="12" customWidth="1"/>
    <col min="2" max="2" width="34" customWidth="1"/>
    <col min="3" max="3" width="16" customWidth="1"/>
    <col min="4" max="4" width="24" customWidth="1"/>
    <col min="5" max="7" width="14" customWidth="1"/>
    <col min="8" max="8" width="52" customWidth="1"/>
  </cols>
  <sheetData>
    <row r="1" spans="1:8" ht="17.399999999999999" x14ac:dyDescent="0.3">
      <c r="A1" s="1" t="s">
        <v>254</v>
      </c>
    </row>
    <row r="2" spans="1:8" x14ac:dyDescent="0.3">
      <c r="A2" s="2" t="s">
        <v>255</v>
      </c>
    </row>
    <row r="4" spans="1:8" ht="26.4" x14ac:dyDescent="0.3">
      <c r="A4" s="3" t="s">
        <v>256</v>
      </c>
      <c r="B4" s="3" t="s">
        <v>257</v>
      </c>
      <c r="C4" s="3" t="s">
        <v>258</v>
      </c>
      <c r="D4" s="3" t="s">
        <v>259</v>
      </c>
      <c r="E4" s="3" t="s">
        <v>260</v>
      </c>
      <c r="F4" s="3" t="s">
        <v>261</v>
      </c>
      <c r="G4" s="3" t="s">
        <v>22</v>
      </c>
      <c r="H4" s="3" t="s">
        <v>262</v>
      </c>
    </row>
    <row r="5" spans="1:8" ht="25.2" x14ac:dyDescent="0.3">
      <c r="A5" s="6" t="s">
        <v>263</v>
      </c>
      <c r="B5" s="14" t="s">
        <v>264</v>
      </c>
      <c r="C5" s="7" t="s">
        <v>175</v>
      </c>
      <c r="D5" s="5" t="s">
        <v>26</v>
      </c>
      <c r="E5" s="7" t="s">
        <v>53</v>
      </c>
      <c r="F5" s="7" t="s">
        <v>54</v>
      </c>
      <c r="G5" s="9" t="s">
        <v>55</v>
      </c>
      <c r="H5" s="5" t="s">
        <v>265</v>
      </c>
    </row>
    <row r="6" spans="1:8" ht="25.2" x14ac:dyDescent="0.3">
      <c r="A6" s="6" t="s">
        <v>266</v>
      </c>
      <c r="B6" s="14" t="s">
        <v>267</v>
      </c>
      <c r="C6" s="7" t="s">
        <v>175</v>
      </c>
      <c r="D6" s="5" t="s">
        <v>26</v>
      </c>
      <c r="E6" s="7" t="s">
        <v>25</v>
      </c>
      <c r="F6" s="7" t="s">
        <v>54</v>
      </c>
      <c r="G6" s="9" t="s">
        <v>55</v>
      </c>
      <c r="H6" s="5" t="s">
        <v>268</v>
      </c>
    </row>
    <row r="7" spans="1:8" ht="25.2" x14ac:dyDescent="0.3">
      <c r="A7" s="6" t="s">
        <v>269</v>
      </c>
      <c r="B7" s="14" t="s">
        <v>270</v>
      </c>
      <c r="C7" s="7" t="s">
        <v>181</v>
      </c>
      <c r="D7" s="5" t="s">
        <v>271</v>
      </c>
      <c r="E7" s="7" t="s">
        <v>61</v>
      </c>
      <c r="F7" s="7" t="s">
        <v>272</v>
      </c>
      <c r="G7" s="9" t="s">
        <v>55</v>
      </c>
      <c r="H7" s="5" t="s">
        <v>273</v>
      </c>
    </row>
    <row r="8" spans="1:8" ht="25.2" x14ac:dyDescent="0.3">
      <c r="A8" s="6" t="s">
        <v>274</v>
      </c>
      <c r="B8" s="14" t="s">
        <v>275</v>
      </c>
      <c r="C8" s="7" t="s">
        <v>181</v>
      </c>
      <c r="D8" s="5" t="s">
        <v>229</v>
      </c>
      <c r="E8" s="7" t="s">
        <v>276</v>
      </c>
      <c r="F8" s="7" t="s">
        <v>63</v>
      </c>
      <c r="G8" s="9" t="s">
        <v>55</v>
      </c>
      <c r="H8" s="5" t="s">
        <v>277</v>
      </c>
    </row>
    <row r="9" spans="1:8" ht="25.2" x14ac:dyDescent="0.3">
      <c r="A9" s="6" t="s">
        <v>278</v>
      </c>
      <c r="B9" s="14" t="s">
        <v>279</v>
      </c>
      <c r="C9" s="7" t="s">
        <v>194</v>
      </c>
      <c r="D9" s="5" t="s">
        <v>195</v>
      </c>
      <c r="E9" s="7" t="s">
        <v>69</v>
      </c>
      <c r="F9" s="7" t="s">
        <v>70</v>
      </c>
      <c r="G9" s="9" t="s">
        <v>55</v>
      </c>
      <c r="H9" s="5" t="s">
        <v>280</v>
      </c>
    </row>
    <row r="10" spans="1:8" ht="25.2" x14ac:dyDescent="0.3">
      <c r="A10" s="6" t="s">
        <v>281</v>
      </c>
      <c r="B10" s="14" t="s">
        <v>282</v>
      </c>
      <c r="C10" s="7" t="s">
        <v>194</v>
      </c>
      <c r="D10" s="5" t="s">
        <v>229</v>
      </c>
      <c r="E10" s="7" t="s">
        <v>283</v>
      </c>
      <c r="F10" s="7" t="s">
        <v>284</v>
      </c>
      <c r="G10" s="9" t="s">
        <v>55</v>
      </c>
      <c r="H10" s="5" t="s">
        <v>285</v>
      </c>
    </row>
    <row r="11" spans="1:8" ht="25.2" x14ac:dyDescent="0.3">
      <c r="A11" s="6" t="s">
        <v>286</v>
      </c>
      <c r="B11" s="14" t="s">
        <v>287</v>
      </c>
      <c r="C11" s="7" t="s">
        <v>201</v>
      </c>
      <c r="D11" s="5" t="s">
        <v>195</v>
      </c>
      <c r="E11" s="7" t="s">
        <v>76</v>
      </c>
      <c r="F11" s="7" t="s">
        <v>77</v>
      </c>
      <c r="G11" s="9" t="s">
        <v>55</v>
      </c>
      <c r="H11" s="5" t="s">
        <v>288</v>
      </c>
    </row>
    <row r="12" spans="1:8" ht="25.2" x14ac:dyDescent="0.3">
      <c r="A12" s="6" t="s">
        <v>289</v>
      </c>
      <c r="B12" s="14" t="s">
        <v>290</v>
      </c>
      <c r="C12" s="7" t="s">
        <v>201</v>
      </c>
      <c r="D12" s="5" t="s">
        <v>291</v>
      </c>
      <c r="E12" s="7" t="s">
        <v>292</v>
      </c>
      <c r="F12" s="7" t="s">
        <v>77</v>
      </c>
      <c r="G12" s="9" t="s">
        <v>55</v>
      </c>
      <c r="H12" s="5" t="s">
        <v>293</v>
      </c>
    </row>
    <row r="13" spans="1:8" ht="25.2" x14ac:dyDescent="0.3">
      <c r="A13" s="6" t="s">
        <v>294</v>
      </c>
      <c r="B13" s="14" t="s">
        <v>295</v>
      </c>
      <c r="C13" s="7" t="s">
        <v>207</v>
      </c>
      <c r="D13" s="5" t="s">
        <v>26</v>
      </c>
      <c r="E13" s="7" t="s">
        <v>83</v>
      </c>
      <c r="F13" s="7" t="s">
        <v>32</v>
      </c>
      <c r="G13" s="9" t="s">
        <v>55</v>
      </c>
      <c r="H13" s="5" t="s">
        <v>296</v>
      </c>
    </row>
    <row r="14" spans="1:8" ht="25.2" x14ac:dyDescent="0.3">
      <c r="A14" s="6" t="s">
        <v>297</v>
      </c>
      <c r="B14" s="14" t="s">
        <v>298</v>
      </c>
      <c r="C14" s="7" t="s">
        <v>214</v>
      </c>
      <c r="D14" s="5" t="s">
        <v>215</v>
      </c>
      <c r="E14" s="7" t="s">
        <v>89</v>
      </c>
      <c r="F14" s="7" t="s">
        <v>90</v>
      </c>
      <c r="G14" s="9" t="s">
        <v>55</v>
      </c>
      <c r="H14" s="5" t="s">
        <v>299</v>
      </c>
    </row>
    <row r="15" spans="1:8" ht="25.2" x14ac:dyDescent="0.3">
      <c r="A15" s="6" t="s">
        <v>300</v>
      </c>
      <c r="B15" s="14" t="s">
        <v>301</v>
      </c>
      <c r="C15" s="7" t="s">
        <v>234</v>
      </c>
      <c r="D15" s="5" t="s">
        <v>235</v>
      </c>
      <c r="E15" s="7" t="s">
        <v>104</v>
      </c>
      <c r="F15" s="7" t="s">
        <v>105</v>
      </c>
      <c r="G15" s="11" t="s">
        <v>106</v>
      </c>
      <c r="H15" s="5" t="s">
        <v>302</v>
      </c>
    </row>
    <row r="16" spans="1:8" ht="25.2" x14ac:dyDescent="0.3">
      <c r="A16" s="6" t="s">
        <v>303</v>
      </c>
      <c r="B16" s="14" t="s">
        <v>304</v>
      </c>
      <c r="C16" s="7" t="s">
        <v>248</v>
      </c>
      <c r="D16" s="5" t="s">
        <v>250</v>
      </c>
      <c r="E16" s="7" t="s">
        <v>305</v>
      </c>
      <c r="F16" s="7" t="s">
        <v>249</v>
      </c>
      <c r="G16" s="12" t="s">
        <v>114</v>
      </c>
      <c r="H16" s="5" t="s">
        <v>306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1"/>
  <sheetViews>
    <sheetView workbookViewId="0"/>
  </sheetViews>
  <sheetFormatPr defaultRowHeight="14.4" x14ac:dyDescent="0.3"/>
  <cols>
    <col min="1" max="1" width="42" customWidth="1"/>
    <col min="2" max="2" width="16" customWidth="1"/>
    <col min="3" max="3" width="24" customWidth="1"/>
    <col min="4" max="4" width="32" customWidth="1"/>
    <col min="5" max="5" width="16" customWidth="1"/>
    <col min="6" max="6" width="64" customWidth="1"/>
  </cols>
  <sheetData>
    <row r="1" spans="1:6" ht="17.399999999999999" x14ac:dyDescent="0.3">
      <c r="A1" s="1" t="s">
        <v>307</v>
      </c>
    </row>
    <row r="2" spans="1:6" x14ac:dyDescent="0.3">
      <c r="A2" s="2" t="s">
        <v>308</v>
      </c>
    </row>
    <row r="4" spans="1:6" x14ac:dyDescent="0.3">
      <c r="A4" s="3" t="s">
        <v>309</v>
      </c>
      <c r="B4" s="3" t="s">
        <v>310</v>
      </c>
      <c r="C4" s="3" t="s">
        <v>169</v>
      </c>
      <c r="D4" s="3" t="s">
        <v>311</v>
      </c>
      <c r="E4" s="3" t="s">
        <v>22</v>
      </c>
      <c r="F4" s="3" t="s">
        <v>312</v>
      </c>
    </row>
    <row r="5" spans="1:6" ht="25.2" x14ac:dyDescent="0.3">
      <c r="A5" s="14" t="s">
        <v>313</v>
      </c>
      <c r="B5" s="7" t="s">
        <v>105</v>
      </c>
      <c r="C5" s="5" t="s">
        <v>235</v>
      </c>
      <c r="D5" s="5" t="s">
        <v>314</v>
      </c>
      <c r="E5" s="11" t="s">
        <v>106</v>
      </c>
      <c r="F5" s="5" t="s">
        <v>315</v>
      </c>
    </row>
    <row r="6" spans="1:6" ht="24" x14ac:dyDescent="0.3">
      <c r="A6" s="14" t="s">
        <v>316</v>
      </c>
      <c r="B6" s="7" t="s">
        <v>227</v>
      </c>
      <c r="C6" s="5" t="s">
        <v>229</v>
      </c>
      <c r="D6" s="5" t="s">
        <v>317</v>
      </c>
      <c r="E6" s="12" t="s">
        <v>228</v>
      </c>
      <c r="F6" s="5" t="s">
        <v>318</v>
      </c>
    </row>
    <row r="7" spans="1:6" ht="36" x14ac:dyDescent="0.3">
      <c r="A7" s="14" t="s">
        <v>319</v>
      </c>
      <c r="B7" s="7" t="s">
        <v>320</v>
      </c>
      <c r="C7" s="5" t="s">
        <v>321</v>
      </c>
      <c r="D7" s="5" t="s">
        <v>322</v>
      </c>
      <c r="E7" s="17" t="s">
        <v>323</v>
      </c>
      <c r="F7" s="5" t="s">
        <v>324</v>
      </c>
    </row>
    <row r="8" spans="1:6" ht="25.2" x14ac:dyDescent="0.3">
      <c r="A8" s="14" t="s">
        <v>325</v>
      </c>
      <c r="B8" s="7" t="s">
        <v>241</v>
      </c>
      <c r="C8" s="5" t="s">
        <v>326</v>
      </c>
      <c r="D8" s="5" t="s">
        <v>327</v>
      </c>
      <c r="E8" s="6" t="s">
        <v>328</v>
      </c>
      <c r="F8" s="5" t="s">
        <v>329</v>
      </c>
    </row>
    <row r="9" spans="1:6" ht="24" x14ac:dyDescent="0.3">
      <c r="A9" s="14" t="s">
        <v>330</v>
      </c>
      <c r="B9" s="7" t="s">
        <v>249</v>
      </c>
      <c r="C9" s="5" t="s">
        <v>250</v>
      </c>
      <c r="D9" s="5" t="s">
        <v>331</v>
      </c>
      <c r="E9" s="9" t="s">
        <v>114</v>
      </c>
      <c r="F9" s="5" t="s">
        <v>332</v>
      </c>
    </row>
    <row r="10" spans="1:6" ht="25.2" x14ac:dyDescent="0.3">
      <c r="A10" s="14" t="s">
        <v>333</v>
      </c>
      <c r="B10" s="7" t="s">
        <v>112</v>
      </c>
      <c r="C10" s="5" t="s">
        <v>28</v>
      </c>
      <c r="D10" s="5" t="s">
        <v>334</v>
      </c>
      <c r="E10" s="12" t="s">
        <v>228</v>
      </c>
      <c r="F10" s="5" t="s">
        <v>335</v>
      </c>
    </row>
    <row r="11" spans="1:6" ht="36" x14ac:dyDescent="0.3">
      <c r="A11" s="14" t="s">
        <v>336</v>
      </c>
      <c r="B11" s="7" t="s">
        <v>337</v>
      </c>
      <c r="C11" s="5" t="s">
        <v>26</v>
      </c>
      <c r="D11" s="5" t="s">
        <v>338</v>
      </c>
      <c r="E11" s="11" t="s">
        <v>106</v>
      </c>
      <c r="F11" s="5" t="s">
        <v>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VERSION-CONTROL</vt:lpstr>
      <vt:lpstr>PHASES</vt:lpstr>
      <vt:lpstr>ARTEFACT-DELIVERY</vt:lpstr>
      <vt:lpstr>DEPENDENCIES</vt:lpstr>
      <vt:lpstr>MILESTONES</vt:lpstr>
      <vt:lpstr>WORKPLAN</vt:lpstr>
      <vt:lpstr>FORWARD-PLAN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Rity Shree</cp:lastModifiedBy>
  <dcterms:created xsi:type="dcterms:W3CDTF">2026-09-14T14:47:13Z</dcterms:created>
  <dcterms:modified xsi:type="dcterms:W3CDTF">2026-09-14T14:50:31Z</dcterms:modified>
</cp:coreProperties>
</file>