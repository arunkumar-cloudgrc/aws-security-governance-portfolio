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reer\Portfolio\Project4\Artifacts V2\"/>
    </mc:Choice>
  </mc:AlternateContent>
  <xr:revisionPtr revIDLastSave="0" documentId="13_ncr:1_{6A1ADAA4-ADF6-417F-A4FE-FD7966A74C1F}" xr6:coauthVersionLast="47" xr6:coauthVersionMax="47" xr10:uidLastSave="{00000000-0000-0000-0000-000000000000}"/>
  <bookViews>
    <workbookView xWindow="22932" yWindow="-108" windowWidth="23256" windowHeight="12720" tabRatio="500" xr2:uid="{00000000-000D-0000-FFFF-FFFF00000000}"/>
  </bookViews>
  <sheets>
    <sheet name="README" sheetId="1" r:id="rId1"/>
    <sheet name="VERSION-CONTROL" sheetId="2" r:id="rId2"/>
    <sheet name="COMPETENCY-REGISTER" sheetId="3" r:id="rId3"/>
    <sheet name="CURRICULUM" sheetId="4" r:id="rId4"/>
    <sheet name="LAPSE-TRIGGER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3" l="1"/>
  <c r="B18" i="3"/>
  <c r="B17" i="3"/>
  <c r="B20" i="3" s="1"/>
</calcChain>
</file>

<file path=xl/sharedStrings.xml><?xml version="1.0" encoding="utf-8"?>
<sst xmlns="http://schemas.openxmlformats.org/spreadsheetml/2006/main" count="183" uniqueCount="135">
  <si>
    <t>AI Literacy and Competency Record</t>
  </si>
  <si>
    <t>Credit Decisioning Assistant (CDA) — Artefact A-38 | Owner: AI Governance Lead</t>
  </si>
  <si>
    <t>Field</t>
  </si>
  <si>
    <t>Detail</t>
  </si>
  <si>
    <t>Purpose</t>
  </si>
  <si>
    <t>Evidences that every person operating, reviewing, or relying on the CDA holds current competency to do so. This is the record behind the competency requirement in Human_Oversight_and_Escalation_Procedure §7.</t>
  </si>
  <si>
    <t>Why it exists</t>
  </si>
  <si>
    <t>Created to close a gap found in framework review. EU AI Act Art.4 requires providers and deployers to ensure a sufficient level of AI literacy among staff dealing with the operation and use of AI systems. Loan officers exercising Art.14 oversight are squarely in scope, and no record existed.</t>
  </si>
  <si>
    <t>Scope</t>
  </si>
  <si>
    <t>All reviewing loan officers, senior loan officers handling recourse, the Loan Operations lead, AI Governance Committee members, and internal audit staff reviewing the system.</t>
  </si>
  <si>
    <t>Competency lapse</t>
  </si>
  <si>
    <t>Competency lapses on any material change to the system — model version change, change to the four review checks, or change to the escalation routes. Lapsed staff may not review until re-attested.</t>
  </si>
  <si>
    <t>Anonymisation</t>
  </si>
  <si>
    <t>Individuals are recorded by role and staff reference in this published version. The mapping to named individuals is held in the HR system and is not published.</t>
  </si>
  <si>
    <t>Every material change is versioned. A control artefact with no version history cannot evidence when a threshold changed.</t>
  </si>
  <si>
    <t>Version</t>
  </si>
  <si>
    <t>Date</t>
  </si>
  <si>
    <t>Author</t>
  </si>
  <si>
    <t>Reviewer</t>
  </si>
  <si>
    <t>Approver</t>
  </si>
  <si>
    <t>Status</t>
  </si>
  <si>
    <t>Change summary</t>
  </si>
  <si>
    <t>v1.0</t>
  </si>
  <si>
    <t>2026-03-18</t>
  </si>
  <si>
    <t>AI Governance Lead</t>
  </si>
  <si>
    <t>HR; Loan Operations</t>
  </si>
  <si>
    <t>AI Governance Committee</t>
  </si>
  <si>
    <t>Approved</t>
  </si>
  <si>
    <t>Created to close framework gap G-2</t>
  </si>
  <si>
    <t>One row per person in scope. Status is formula-driven from the attestation date and the current system version.</t>
  </si>
  <si>
    <t>Staff ref</t>
  </si>
  <si>
    <t>Role in scope</t>
  </si>
  <si>
    <t>Curriculum required</t>
  </si>
  <si>
    <t>Attestation date</t>
  </si>
  <si>
    <t>System version attested against</t>
  </si>
  <si>
    <t>Evidence</t>
  </si>
  <si>
    <t>Notes</t>
  </si>
  <si>
    <t>STF-0142</t>
  </si>
  <si>
    <t>Reviewing loan officer</t>
  </si>
  <si>
    <t>Core + Oversight</t>
  </si>
  <si>
    <t>2026-03-20</t>
  </si>
  <si>
    <t>Guardrail v1.0 / Model v1</t>
  </si>
  <si>
    <t>Current</t>
  </si>
  <si>
    <t>Attested</t>
  </si>
  <si>
    <t>STF-0147</t>
  </si>
  <si>
    <t>STF-0151</t>
  </si>
  <si>
    <t>2026-03-21</t>
  </si>
  <si>
    <t>STF-0163</t>
  </si>
  <si>
    <t>STF-0088</t>
  </si>
  <si>
    <t>Senior loan officer (recourse)</t>
  </si>
  <si>
    <t>Core + Oversight + Recourse</t>
  </si>
  <si>
    <t>2026-03-19</t>
  </si>
  <si>
    <t>STF-0091</t>
  </si>
  <si>
    <t>STF-0034</t>
  </si>
  <si>
    <t>Loan Operations lead</t>
  </si>
  <si>
    <t>Core + Oversight + Monitoring</t>
  </si>
  <si>
    <t>2026-03-17</t>
  </si>
  <si>
    <t>STF-0201</t>
  </si>
  <si>
    <t>Not yet attested</t>
  </si>
  <si>
    <t>Lapsed</t>
  </si>
  <si>
    <t>Not attested</t>
  </si>
  <si>
    <t>Joined after go-live. May not review until attested — see LAPSE-TRIGGERS</t>
  </si>
  <si>
    <t>STF-0012</t>
  </si>
  <si>
    <t>Internal audit</t>
  </si>
  <si>
    <t>Core + Audit</t>
  </si>
  <si>
    <t>2026-04-02</t>
  </si>
  <si>
    <t>STF-0007</t>
  </si>
  <si>
    <t>AI Governance Committee member</t>
  </si>
  <si>
    <t>Core + Governance</t>
  </si>
  <si>
    <t>2026-02-10</t>
  </si>
  <si>
    <t>Summary</t>
  </si>
  <si>
    <t>People in scope</t>
  </si>
  <si>
    <t>Currently attested</t>
  </si>
  <si>
    <t>Lapsed or not attested</t>
  </si>
  <si>
    <t>Compliance rate</t>
  </si>
  <si>
    <t>A compliance rate below 100% for staff actively reviewing is a control failure, not a training backlog. STF-0201 is correctly blocked from review rather than counted as a pending action.</t>
  </si>
  <si>
    <t>Art.4 requires literacy proportionate to the role. A committee member and a reviewing officer need different things.</t>
  </si>
  <si>
    <t>Module</t>
  </si>
  <si>
    <t>Audience</t>
  </si>
  <si>
    <t>Content</t>
  </si>
  <si>
    <t>Duration</t>
  </si>
  <si>
    <t>Frequency</t>
  </si>
  <si>
    <t>Core</t>
  </si>
  <si>
    <t>All staff in scope</t>
  </si>
  <si>
    <t>What the CDA does and does not do; that it drafts and does not decide; that its output can be confidently wrong; the concept of retrieval grounding in plain terms</t>
  </si>
  <si>
    <t>45 min</t>
  </si>
  <si>
    <t>Annual</t>
  </si>
  <si>
    <t>Oversight</t>
  </si>
  <si>
    <t>Reviewing and senior loan officers</t>
  </si>
  <si>
    <t>The four review checks in detail; why check 4 is an escalation and not an edit; known limitations from Model_Card; escalation routes and timeframes</t>
  </si>
  <si>
    <t>90 min + assessment</t>
  </si>
  <si>
    <t>Annual + on change</t>
  </si>
  <si>
    <t>Recourse</t>
  </si>
  <si>
    <t>Senior loan officers</t>
  </si>
  <si>
    <t>Independent re-review discipline; anchoring risk when reading the original draft; when a reversal must be escalated as a systemic signal</t>
  </si>
  <si>
    <t>Monitoring</t>
  </si>
  <si>
    <t>The override band and why it is two-sided; how to read the monitoring metrics; what constitutes below-band performance</t>
  </si>
  <si>
    <t>60 min</t>
  </si>
  <si>
    <t>Governance</t>
  </si>
  <si>
    <t>Committee members</t>
  </si>
  <si>
    <t>Risk tier and its obligations; the gate model and their decision authority; what evidence a gate approval requires</t>
  </si>
  <si>
    <t>90 min</t>
  </si>
  <si>
    <t>Audit</t>
  </si>
  <si>
    <t>The evidence chain and where each artefact sits; how to test a control rather than confirm its existence; the control testing index</t>
  </si>
  <si>
    <t>Attestation is version-bound. These events invalidate it.</t>
  </si>
  <si>
    <t>Trigger</t>
  </si>
  <si>
    <t>Who lapses</t>
  </si>
  <si>
    <t>Why</t>
  </si>
  <si>
    <t>Re-attestation deadline</t>
  </si>
  <si>
    <t>Foundation model version change</t>
  </si>
  <si>
    <t>All Oversight-curriculum staff</t>
  </si>
  <si>
    <t>Model behaviour and known limitations may differ. Model_Card is reissued and re-attestation required before resuming review</t>
  </si>
  <si>
    <t>Immediate — review suspended until attested</t>
  </si>
  <si>
    <t>Change to the four review checks</t>
  </si>
  <si>
    <t>The procedure being complied with is no longer the one attested to</t>
  </si>
  <si>
    <t>Immediate</t>
  </si>
  <si>
    <t>Change to escalation routes or thresholds</t>
  </si>
  <si>
    <t>Oversight and Monitoring staff</t>
  </si>
  <si>
    <t>Escalating to the wrong route in an incident is a material failure</t>
  </si>
  <si>
    <t>Within 5 working days</t>
  </si>
  <si>
    <t>New joiner in a scoped role</t>
  </si>
  <si>
    <t>The individual</t>
  </si>
  <si>
    <t>No attestation exists. Blocked from review, not permitted with a grace period</t>
  </si>
  <si>
    <t>Before first review</t>
  </si>
  <si>
    <t>Return from extended absence over 6 months</t>
  </si>
  <si>
    <t>System and policy may have changed materially in the interim</t>
  </si>
  <si>
    <t>Before resuming review</t>
  </si>
  <si>
    <t>Annual expiry</t>
  </si>
  <si>
    <t>All</t>
  </si>
  <si>
    <t>Literacy decays without reinforcement, and the regulatory obligation is continuous</t>
  </si>
  <si>
    <t>On anniversary</t>
  </si>
  <si>
    <t>Competency Register</t>
  </si>
  <si>
    <t>Curriculum - What competency covers</t>
  </si>
  <si>
    <t>Competency Lapse Triggers</t>
  </si>
  <si>
    <t>Version and Approval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</si>
</sst>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i/>
      <sz val="9"/>
      <color rgb="FF9C0006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0" borderId="0" xfId="0" applyFont="1"/>
    <xf numFmtId="0" fontId="4" fillId="0" borderId="0" xfId="0" applyFont="1"/>
    <xf numFmtId="0" fontId="5" fillId="0" borderId="0" xfId="0" applyFont="1"/>
    <xf numFmtId="9" fontId="5" fillId="0" borderId="0" xfId="0" applyNumberFormat="1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Normal="100" workbookViewId="0">
      <selection activeCell="A4" sqref="A4"/>
    </sheetView>
  </sheetViews>
  <sheetFormatPr defaultColWidth="8.6640625" defaultRowHeight="14.4" x14ac:dyDescent="0.3"/>
  <cols>
    <col min="1" max="1" width="26" customWidth="1"/>
    <col min="2" max="2" width="108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12" t="s">
        <v>2</v>
      </c>
      <c r="B4" s="12" t="s">
        <v>3</v>
      </c>
    </row>
    <row r="5" spans="1:2" ht="45.75" customHeight="1" x14ac:dyDescent="0.3">
      <c r="A5" s="3" t="s">
        <v>4</v>
      </c>
      <c r="B5" s="4" t="s">
        <v>5</v>
      </c>
    </row>
    <row r="6" spans="1:2" ht="45.75" customHeight="1" x14ac:dyDescent="0.3">
      <c r="A6" s="3" t="s">
        <v>6</v>
      </c>
      <c r="B6" s="4" t="s">
        <v>7</v>
      </c>
    </row>
    <row r="7" spans="1:2" ht="45.75" customHeight="1" x14ac:dyDescent="0.3">
      <c r="A7" s="3" t="s">
        <v>8</v>
      </c>
      <c r="B7" s="4" t="s">
        <v>9</v>
      </c>
    </row>
    <row r="8" spans="1:2" ht="45.75" customHeight="1" x14ac:dyDescent="0.3">
      <c r="A8" s="3" t="s">
        <v>10</v>
      </c>
      <c r="B8" s="4" t="s">
        <v>11</v>
      </c>
    </row>
    <row r="9" spans="1:2" ht="45.75" customHeight="1" x14ac:dyDescent="0.3">
      <c r="A9" s="3" t="s">
        <v>12</v>
      </c>
      <c r="B9" s="4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zoomScaleNormal="100" workbookViewId="0">
      <selection activeCell="A2" sqref="A2"/>
    </sheetView>
  </sheetViews>
  <sheetFormatPr defaultColWidth="8.6640625" defaultRowHeight="14.4" x14ac:dyDescent="0.3"/>
  <cols>
    <col min="1" max="1" width="10" customWidth="1"/>
    <col min="2" max="2" width="13" customWidth="1"/>
    <col min="3" max="3" width="20" customWidth="1"/>
    <col min="4" max="5" width="22" customWidth="1"/>
    <col min="6" max="6" width="12" customWidth="1"/>
    <col min="7" max="7" width="52" customWidth="1"/>
  </cols>
  <sheetData>
    <row r="1" spans="1:7" ht="17.399999999999999" x14ac:dyDescent="0.3">
      <c r="A1" s="1" t="s">
        <v>134</v>
      </c>
    </row>
    <row r="2" spans="1:7" x14ac:dyDescent="0.3">
      <c r="A2" s="2" t="s">
        <v>14</v>
      </c>
    </row>
    <row r="4" spans="1:7" s="13" customFormat="1" x14ac:dyDescent="0.3">
      <c r="A4" s="12" t="s">
        <v>15</v>
      </c>
      <c r="B4" s="12" t="s">
        <v>16</v>
      </c>
      <c r="C4" s="12" t="s">
        <v>17</v>
      </c>
      <c r="D4" s="12" t="s">
        <v>18</v>
      </c>
      <c r="E4" s="12" t="s">
        <v>19</v>
      </c>
      <c r="F4" s="12" t="s">
        <v>20</v>
      </c>
      <c r="G4" s="12" t="s">
        <v>21</v>
      </c>
    </row>
    <row r="5" spans="1:7" ht="30" customHeight="1" x14ac:dyDescent="0.3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zoomScaleNormal="100" workbookViewId="0">
      <pane ySplit="4" topLeftCell="A5" activePane="bottomLeft" state="frozen"/>
      <selection pane="bottomLeft" activeCell="A4" sqref="A4"/>
    </sheetView>
  </sheetViews>
  <sheetFormatPr defaultColWidth="8.6640625" defaultRowHeight="14.4" x14ac:dyDescent="0.3"/>
  <cols>
    <col min="1" max="1" width="12" customWidth="1"/>
    <col min="2" max="2" width="28" customWidth="1"/>
    <col min="3" max="3" width="26" customWidth="1"/>
    <col min="4" max="4" width="15" customWidth="1"/>
    <col min="5" max="5" width="26" customWidth="1"/>
    <col min="6" max="6" width="12" customWidth="1"/>
    <col min="7" max="7" width="14" customWidth="1"/>
    <col min="8" max="8" width="44" customWidth="1"/>
  </cols>
  <sheetData>
    <row r="1" spans="1:8" ht="17.399999999999999" x14ac:dyDescent="0.3">
      <c r="A1" s="1" t="s">
        <v>131</v>
      </c>
    </row>
    <row r="2" spans="1:8" x14ac:dyDescent="0.3">
      <c r="A2" s="2" t="s">
        <v>29</v>
      </c>
    </row>
    <row r="4" spans="1:8" s="13" customFormat="1" ht="26.4" x14ac:dyDescent="0.3">
      <c r="A4" s="12" t="s">
        <v>30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20</v>
      </c>
      <c r="G4" s="12" t="s">
        <v>35</v>
      </c>
      <c r="H4" s="12" t="s">
        <v>36</v>
      </c>
    </row>
    <row r="5" spans="1:8" ht="31.5" customHeight="1" x14ac:dyDescent="0.3">
      <c r="A5" s="5" t="s">
        <v>37</v>
      </c>
      <c r="B5" s="5" t="s">
        <v>38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/>
    </row>
    <row r="6" spans="1:8" ht="31.5" customHeight="1" x14ac:dyDescent="0.3">
      <c r="A6" s="5" t="s">
        <v>44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42</v>
      </c>
      <c r="G6" s="5" t="s">
        <v>43</v>
      </c>
      <c r="H6" s="5"/>
    </row>
    <row r="7" spans="1:8" ht="31.5" customHeight="1" x14ac:dyDescent="0.3">
      <c r="A7" s="5" t="s">
        <v>45</v>
      </c>
      <c r="B7" s="5" t="s">
        <v>38</v>
      </c>
      <c r="C7" s="5" t="s">
        <v>39</v>
      </c>
      <c r="D7" s="5" t="s">
        <v>46</v>
      </c>
      <c r="E7" s="5" t="s">
        <v>41</v>
      </c>
      <c r="F7" s="5" t="s">
        <v>42</v>
      </c>
      <c r="G7" s="5" t="s">
        <v>43</v>
      </c>
      <c r="H7" s="5"/>
    </row>
    <row r="8" spans="1:8" ht="31.5" customHeight="1" x14ac:dyDescent="0.3">
      <c r="A8" s="5" t="s">
        <v>47</v>
      </c>
      <c r="B8" s="5" t="s">
        <v>38</v>
      </c>
      <c r="C8" s="5" t="s">
        <v>39</v>
      </c>
      <c r="D8" s="5" t="s">
        <v>46</v>
      </c>
      <c r="E8" s="5" t="s">
        <v>41</v>
      </c>
      <c r="F8" s="5" t="s">
        <v>42</v>
      </c>
      <c r="G8" s="5" t="s">
        <v>43</v>
      </c>
      <c r="H8" s="5"/>
    </row>
    <row r="9" spans="1:8" ht="31.5" customHeight="1" x14ac:dyDescent="0.3">
      <c r="A9" s="5" t="s">
        <v>48</v>
      </c>
      <c r="B9" s="5" t="s">
        <v>49</v>
      </c>
      <c r="C9" s="5" t="s">
        <v>50</v>
      </c>
      <c r="D9" s="5" t="s">
        <v>51</v>
      </c>
      <c r="E9" s="5" t="s">
        <v>41</v>
      </c>
      <c r="F9" s="5" t="s">
        <v>42</v>
      </c>
      <c r="G9" s="5" t="s">
        <v>43</v>
      </c>
      <c r="H9" s="5"/>
    </row>
    <row r="10" spans="1:8" ht="31.5" customHeight="1" x14ac:dyDescent="0.3">
      <c r="A10" s="5" t="s">
        <v>52</v>
      </c>
      <c r="B10" s="5" t="s">
        <v>49</v>
      </c>
      <c r="C10" s="5" t="s">
        <v>50</v>
      </c>
      <c r="D10" s="5" t="s">
        <v>51</v>
      </c>
      <c r="E10" s="5" t="s">
        <v>41</v>
      </c>
      <c r="F10" s="5" t="s">
        <v>42</v>
      </c>
      <c r="G10" s="5" t="s">
        <v>43</v>
      </c>
      <c r="H10" s="5"/>
    </row>
    <row r="11" spans="1:8" ht="31.5" customHeight="1" x14ac:dyDescent="0.3">
      <c r="A11" s="5" t="s">
        <v>53</v>
      </c>
      <c r="B11" s="5" t="s">
        <v>54</v>
      </c>
      <c r="C11" s="5" t="s">
        <v>55</v>
      </c>
      <c r="D11" s="5" t="s">
        <v>56</v>
      </c>
      <c r="E11" s="5" t="s">
        <v>41</v>
      </c>
      <c r="F11" s="5" t="s">
        <v>42</v>
      </c>
      <c r="G11" s="5" t="s">
        <v>43</v>
      </c>
      <c r="H11" s="5"/>
    </row>
    <row r="12" spans="1:8" ht="31.5" customHeight="1" x14ac:dyDescent="0.3">
      <c r="A12" s="6" t="s">
        <v>57</v>
      </c>
      <c r="B12" s="6" t="s">
        <v>38</v>
      </c>
      <c r="C12" s="6" t="s">
        <v>39</v>
      </c>
      <c r="D12" s="6"/>
      <c r="E12" s="6" t="s">
        <v>58</v>
      </c>
      <c r="F12" s="6" t="s">
        <v>59</v>
      </c>
      <c r="G12" s="6" t="s">
        <v>60</v>
      </c>
      <c r="H12" s="6" t="s">
        <v>61</v>
      </c>
    </row>
    <row r="13" spans="1:8" ht="31.5" customHeight="1" x14ac:dyDescent="0.3">
      <c r="A13" s="5" t="s">
        <v>62</v>
      </c>
      <c r="B13" s="5" t="s">
        <v>63</v>
      </c>
      <c r="C13" s="5" t="s">
        <v>64</v>
      </c>
      <c r="D13" s="5" t="s">
        <v>65</v>
      </c>
      <c r="E13" s="5" t="s">
        <v>41</v>
      </c>
      <c r="F13" s="5" t="s">
        <v>42</v>
      </c>
      <c r="G13" s="5" t="s">
        <v>43</v>
      </c>
      <c r="H13" s="5"/>
    </row>
    <row r="14" spans="1:8" ht="31.5" customHeight="1" x14ac:dyDescent="0.3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41</v>
      </c>
      <c r="F14" s="5" t="s">
        <v>42</v>
      </c>
      <c r="G14" s="5" t="s">
        <v>43</v>
      </c>
      <c r="H14" s="5"/>
    </row>
    <row r="16" spans="1:8" x14ac:dyDescent="0.3">
      <c r="A16" s="7" t="s">
        <v>70</v>
      </c>
    </row>
    <row r="17" spans="1:2" x14ac:dyDescent="0.3">
      <c r="A17" s="8" t="s">
        <v>71</v>
      </c>
      <c r="B17" s="9">
        <f>COUNTA(A5:A14)</f>
        <v>10</v>
      </c>
    </row>
    <row r="18" spans="1:2" x14ac:dyDescent="0.3">
      <c r="A18" s="8" t="s">
        <v>72</v>
      </c>
      <c r="B18" s="9">
        <f>COUNTIF(F5:F14,"Current")</f>
        <v>9</v>
      </c>
    </row>
    <row r="19" spans="1:2" x14ac:dyDescent="0.3">
      <c r="A19" s="8" t="s">
        <v>73</v>
      </c>
      <c r="B19" s="9">
        <f>COUNTIF(F5:F14,"Lapsed")</f>
        <v>1</v>
      </c>
    </row>
    <row r="20" spans="1:2" x14ac:dyDescent="0.3">
      <c r="A20" s="8" t="s">
        <v>74</v>
      </c>
      <c r="B20" s="10">
        <f>IF(B17=0,0,B18/B17)</f>
        <v>0.9</v>
      </c>
    </row>
    <row r="22" spans="1:2" x14ac:dyDescent="0.3">
      <c r="A22" s="11" t="s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16" customWidth="1"/>
    <col min="2" max="2" width="30" customWidth="1"/>
    <col min="3" max="3" width="66" customWidth="1"/>
    <col min="4" max="4" width="18" customWidth="1"/>
    <col min="5" max="5" width="20" customWidth="1"/>
  </cols>
  <sheetData>
    <row r="1" spans="1:5" ht="17.399999999999999" x14ac:dyDescent="0.3">
      <c r="A1" s="1" t="s">
        <v>132</v>
      </c>
    </row>
    <row r="2" spans="1:5" x14ac:dyDescent="0.3">
      <c r="A2" s="2" t="s">
        <v>76</v>
      </c>
    </row>
    <row r="4" spans="1:5" s="13" customFormat="1" x14ac:dyDescent="0.3">
      <c r="A4" s="12" t="s">
        <v>77</v>
      </c>
      <c r="B4" s="12" t="s">
        <v>78</v>
      </c>
      <c r="C4" s="12" t="s">
        <v>79</v>
      </c>
      <c r="D4" s="12" t="s">
        <v>80</v>
      </c>
      <c r="E4" s="12" t="s">
        <v>81</v>
      </c>
    </row>
    <row r="5" spans="1:5" ht="51.75" customHeight="1" x14ac:dyDescent="0.3">
      <c r="A5" s="4" t="s">
        <v>82</v>
      </c>
      <c r="B5" s="4" t="s">
        <v>83</v>
      </c>
      <c r="C5" s="4" t="s">
        <v>84</v>
      </c>
      <c r="D5" s="4" t="s">
        <v>85</v>
      </c>
      <c r="E5" s="4" t="s">
        <v>86</v>
      </c>
    </row>
    <row r="6" spans="1:5" ht="51.75" customHeight="1" x14ac:dyDescent="0.3">
      <c r="A6" s="4" t="s">
        <v>87</v>
      </c>
      <c r="B6" s="4" t="s">
        <v>88</v>
      </c>
      <c r="C6" s="4" t="s">
        <v>89</v>
      </c>
      <c r="D6" s="4" t="s">
        <v>90</v>
      </c>
      <c r="E6" s="4" t="s">
        <v>91</v>
      </c>
    </row>
    <row r="7" spans="1:5" ht="51.75" customHeight="1" x14ac:dyDescent="0.3">
      <c r="A7" s="4" t="s">
        <v>92</v>
      </c>
      <c r="B7" s="4" t="s">
        <v>93</v>
      </c>
      <c r="C7" s="4" t="s">
        <v>94</v>
      </c>
      <c r="D7" s="4" t="s">
        <v>85</v>
      </c>
      <c r="E7" s="4" t="s">
        <v>86</v>
      </c>
    </row>
    <row r="8" spans="1:5" ht="51.75" customHeight="1" x14ac:dyDescent="0.3">
      <c r="A8" s="4" t="s">
        <v>95</v>
      </c>
      <c r="B8" s="4" t="s">
        <v>54</v>
      </c>
      <c r="C8" s="4" t="s">
        <v>96</v>
      </c>
      <c r="D8" s="4" t="s">
        <v>97</v>
      </c>
      <c r="E8" s="4" t="s">
        <v>86</v>
      </c>
    </row>
    <row r="9" spans="1:5" ht="51.75" customHeight="1" x14ac:dyDescent="0.3">
      <c r="A9" s="4" t="s">
        <v>98</v>
      </c>
      <c r="B9" s="4" t="s">
        <v>99</v>
      </c>
      <c r="C9" s="4" t="s">
        <v>100</v>
      </c>
      <c r="D9" s="4" t="s">
        <v>101</v>
      </c>
      <c r="E9" s="4" t="s">
        <v>86</v>
      </c>
    </row>
    <row r="10" spans="1:5" ht="51.75" customHeight="1" x14ac:dyDescent="0.3">
      <c r="A10" s="4" t="s">
        <v>102</v>
      </c>
      <c r="B10" s="4" t="s">
        <v>63</v>
      </c>
      <c r="C10" s="4" t="s">
        <v>103</v>
      </c>
      <c r="D10" s="4" t="s">
        <v>101</v>
      </c>
      <c r="E10" s="4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34" customWidth="1"/>
    <col min="2" max="2" width="30" customWidth="1"/>
    <col min="3" max="3" width="54" customWidth="1"/>
    <col min="4" max="4" width="28" customWidth="1"/>
  </cols>
  <sheetData>
    <row r="1" spans="1:4" ht="17.399999999999999" x14ac:dyDescent="0.3">
      <c r="A1" s="1" t="s">
        <v>133</v>
      </c>
    </row>
    <row r="2" spans="1:4" x14ac:dyDescent="0.3">
      <c r="A2" s="2" t="s">
        <v>104</v>
      </c>
    </row>
    <row r="4" spans="1:4" s="13" customFormat="1" x14ac:dyDescent="0.3">
      <c r="A4" s="12" t="s">
        <v>105</v>
      </c>
      <c r="B4" s="12" t="s">
        <v>106</v>
      </c>
      <c r="C4" s="12" t="s">
        <v>107</v>
      </c>
      <c r="D4" s="12" t="s">
        <v>108</v>
      </c>
    </row>
    <row r="5" spans="1:4" ht="43.5" customHeight="1" x14ac:dyDescent="0.3">
      <c r="A5" s="4" t="s">
        <v>109</v>
      </c>
      <c r="B5" s="4" t="s">
        <v>110</v>
      </c>
      <c r="C5" s="4" t="s">
        <v>111</v>
      </c>
      <c r="D5" s="4" t="s">
        <v>112</v>
      </c>
    </row>
    <row r="6" spans="1:4" ht="43.5" customHeight="1" x14ac:dyDescent="0.3">
      <c r="A6" s="4" t="s">
        <v>113</v>
      </c>
      <c r="B6" s="4" t="s">
        <v>110</v>
      </c>
      <c r="C6" s="4" t="s">
        <v>114</v>
      </c>
      <c r="D6" s="4" t="s">
        <v>115</v>
      </c>
    </row>
    <row r="7" spans="1:4" ht="43.5" customHeight="1" x14ac:dyDescent="0.3">
      <c r="A7" s="4" t="s">
        <v>116</v>
      </c>
      <c r="B7" s="4" t="s">
        <v>117</v>
      </c>
      <c r="C7" s="4" t="s">
        <v>118</v>
      </c>
      <c r="D7" s="4" t="s">
        <v>119</v>
      </c>
    </row>
    <row r="8" spans="1:4" ht="43.5" customHeight="1" x14ac:dyDescent="0.3">
      <c r="A8" s="4" t="s">
        <v>120</v>
      </c>
      <c r="B8" s="4" t="s">
        <v>121</v>
      </c>
      <c r="C8" s="4" t="s">
        <v>122</v>
      </c>
      <c r="D8" s="4" t="s">
        <v>123</v>
      </c>
    </row>
    <row r="9" spans="1:4" ht="43.5" customHeight="1" x14ac:dyDescent="0.3">
      <c r="A9" s="4" t="s">
        <v>124</v>
      </c>
      <c r="B9" s="4" t="s">
        <v>121</v>
      </c>
      <c r="C9" s="4" t="s">
        <v>125</v>
      </c>
      <c r="D9" s="4" t="s">
        <v>126</v>
      </c>
    </row>
    <row r="10" spans="1:4" ht="43.5" customHeight="1" x14ac:dyDescent="0.3">
      <c r="A10" s="4" t="s">
        <v>127</v>
      </c>
      <c r="B10" s="4" t="s">
        <v>128</v>
      </c>
      <c r="C10" s="4" t="s">
        <v>129</v>
      </c>
      <c r="D10" s="4" t="s">
        <v>130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VERSION-CONTROL</vt:lpstr>
      <vt:lpstr>COMPETENCY-REGISTER</vt:lpstr>
      <vt:lpstr>CURRICULUM</vt:lpstr>
      <vt:lpstr>LAPSE-TRIGGERS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Rity Shree</cp:lastModifiedBy>
  <cp:revision>0</cp:revision>
  <dcterms:created xsi:type="dcterms:W3CDTF">2026-09-10T08:33:37Z</dcterms:created>
  <dcterms:modified xsi:type="dcterms:W3CDTF">2026-09-14T16:20:01Z</dcterms:modified>
  <dc:language>en-US</dc:language>
</cp:coreProperties>
</file>