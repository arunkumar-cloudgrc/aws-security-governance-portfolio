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tyshree\Desktop\"/>
    </mc:Choice>
  </mc:AlternateContent>
  <xr:revisionPtr revIDLastSave="0" documentId="13_ncr:1_{6294EC8F-E54F-4972-A151-38A62C640BE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README" sheetId="1" r:id="rId1"/>
    <sheet name="VERSION-CONTROL" sheetId="2" r:id="rId2"/>
    <sheet name="ASSESSMENT" sheetId="3" r:id="rId3"/>
    <sheet name="GAP-REMEDIATION" sheetId="4" r:id="rId4"/>
    <sheet name="KEY-FINDINGS" sheetId="5" r:id="rId5"/>
    <sheet name="HEATMAP-PRIORITISATION" sheetId="6" r:id="rId6"/>
    <sheet name="REMEDIATION-ROADMAP" sheetId="7" r:id="rId7"/>
    <sheet name="TRAJECTORY" sheetId="8" r:id="rId8"/>
    <sheet name="SOURCE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6" l="1"/>
  <c r="H19" i="6"/>
  <c r="H18" i="6"/>
  <c r="H17" i="6"/>
  <c r="H16" i="6"/>
  <c r="H15" i="6"/>
  <c r="G29" i="3"/>
  <c r="G27" i="3"/>
  <c r="G26" i="3"/>
  <c r="G25" i="3"/>
  <c r="G24" i="3"/>
  <c r="G23" i="3"/>
  <c r="G22" i="3"/>
</calcChain>
</file>

<file path=xl/sharedStrings.xml><?xml version="1.0" encoding="utf-8"?>
<sst xmlns="http://schemas.openxmlformats.org/spreadsheetml/2006/main" count="562" uniqueCount="413">
  <si>
    <t>DATA AND AI GOVERNANCE MATURITY SELF-ASSESSMENT</t>
  </si>
  <si>
    <t>Credit Decisioning Assistant (CDA) Framework — Artefact A-06, v1.2 | Enterprise Governance Design Artefact</t>
  </si>
  <si>
    <t>FIELD</t>
  </si>
  <si>
    <t>DETAIL</t>
  </si>
  <si>
    <t>PURPOSE</t>
  </si>
  <si>
    <t>A completed, evidence-based self-assessment of this organisation's data and AI governance maturity, conducted as part of decision point D1 and re-assessed annually.</t>
  </si>
  <si>
    <t>SYSTEM GOVERNED</t>
  </si>
  <si>
    <t>Credit Decisioning Assistant (CDA) — hybrid deterministic XGBoost scoring + AWS Bedrock (Claude) RAG narration supporting retail credit decisions (~870,000 annual applicants).</t>
  </si>
  <si>
    <t>PROVENANCE &amp; METHODOLOGY</t>
  </si>
  <si>
    <t>This assessment synthesizes recognized financial services standards (EDM Council DCAM, DAMA-DMBOK, ISO/IEC 42001, NIST AI RMF, EU AI Act, MAS TRM/FEAT). The structure translates supervisory expectations into 15 concrete, testable dimensions. Completed scores, evidence, gaps, and remediation actions represent the organisation's authentic operational baseline.</t>
  </si>
  <si>
    <t>SCORING STANDARDS</t>
  </si>
  <si>
    <t>0 Not Implemented, 1 Initial / Ad Hoc, 2 Defined but Inconsistently Applied, 3 Implemented &amp; Repeatable, 4 Managed &amp; Controlled, 5 Optimised &amp; Continuously Improved. Scored strictly against operational evidence, not policy intent. A dimension with an approved policy but no evidence of multi-cycle operation scores 2, not 3.</t>
  </si>
  <si>
    <t>HONESTY STANDARD &amp; RATINGS</t>
  </si>
  <si>
    <t>A self-assessment that scores itself highly is marketing, not governance. Overall maturity here is scored at 2.6 / 5 (self-assessment baseline), while third-line Independent Assurance (D12) is scored at 1 / 5 (lowest in estate) because Internal Audit has not yet executed a formal independent pass. Stating this gap plainly is essential for audit defensibility.</t>
  </si>
  <si>
    <t>REGULATORY BASIS</t>
  </si>
  <si>
    <t>EU AI Act Art. 9 &amp; Art. 26; ISO/IEC 42001 Cl. 4–10; NIST AI RMF GOVERN; MAS TRM Ch. 3; MAS FEAT Principles; GDPR Art. 22; BCBS 239 RDARR Principles.</t>
  </si>
  <si>
    <t>VERSION AND APPROVAL HISTORY</t>
  </si>
  <si>
    <t>VERSION</t>
  </si>
  <si>
    <t>DATE</t>
  </si>
  <si>
    <t>AUTHOR</t>
  </si>
  <si>
    <t>REVIEWER</t>
  </si>
  <si>
    <t>APPROVER</t>
  </si>
  <si>
    <t>STATUS</t>
  </si>
  <si>
    <t>CHANGE SUMMARY</t>
  </si>
  <si>
    <t>v1.0</t>
  </si>
  <si>
    <t>2026-09-10</t>
  </si>
  <si>
    <t>AI Governance Lead</t>
  </si>
  <si>
    <t>Risk</t>
  </si>
  <si>
    <t>Pending</t>
  </si>
  <si>
    <t>Superseded</t>
  </si>
  <si>
    <t>First completed self-assessment. Replaced the blank third-party checklist previously held as A-06.</t>
  </si>
  <si>
    <t>v1.1</t>
  </si>
  <si>
    <t>2026-09-12</t>
  </si>
  <si>
    <t>Risk; Compliance</t>
  </si>
  <si>
    <t>AI Governance Committee</t>
  </si>
  <si>
    <t>Aligned scoring methodology with 15 governance dimensions and anchored maturity constraints.</t>
  </si>
  <si>
    <t>MATURITY ASSESSMENT BY DIMENSION</t>
  </si>
  <si>
    <t>Scored 2026-09-14 against verified operational evidence. Target is the position expected at next annual assessment (Q4 2027), not an ungrounded aspiration.</t>
  </si>
  <si>
    <t>REF</t>
  </si>
  <si>
    <t>GOVERNANCE DIMENSION</t>
  </si>
  <si>
    <t>WHAT WAS ASSESSED</t>
  </si>
  <si>
    <t>EVIDENCE ARTEFACTS</t>
  </si>
  <si>
    <t>REGULATORY / FRAMEWORK REFERENCE</t>
  </si>
  <si>
    <t>PRIORITY</t>
  </si>
  <si>
    <t>SCORE</t>
  </si>
  <si>
    <t>TARGET</t>
  </si>
  <si>
    <t>GAP</t>
  </si>
  <si>
    <t>ASSESSMENT RATIONALE &amp; OBSERVATIONS</t>
  </si>
  <si>
    <t>D1</t>
  </si>
  <si>
    <t>Leadership and Accountability</t>
  </si>
  <si>
    <t>Board-approved apex policy; committee with defined decision rights; named accountable owner per system; 4-eyes rule enforced.</t>
  </si>
  <si>
    <t>AI_Governance_Policy (A-23); AI_Governance_Committee_Charter (A-26); Lifecycle Gate Approval Log (A-28)</t>
  </si>
  <si>
    <t>ISO/IEC 42001 Cl. 5; MAS TRM Ch. 3; EU AI Act Art. 26; COBIT EDM</t>
  </si>
  <si>
    <t>High</t>
  </si>
  <si>
    <t>Managed. Governance operating model and committee structure exist, have been formally exercised, and demonstrated independent authority via Gate 2 block.</t>
  </si>
  <si>
    <t>D2</t>
  </si>
  <si>
    <t>Policy Framework</t>
  </si>
  <si>
    <t>Apex policy with declared hierarchy; operational policies scoped without overlap; testable commitments operationalized.</t>
  </si>
  <si>
    <t>AI_Governance_Policy (A-23 §2); AI_Risk_Management_Policy (A-12); AI_Ethics_and_Responsible_Use_Policy (A-20)</t>
  </si>
  <si>
    <t>ISO/IEC 42001 Cl. 6; NIST AI RMF GOVERN; MAS FEAT Accountability</t>
  </si>
  <si>
    <t>Defined. Overlap between acceptable-use policies and strategy was resolved at v2.0; policy suite is formally approved but multi-year operational embedding remains to be evidenced.</t>
  </si>
  <si>
    <t>D3</t>
  </si>
  <si>
    <t>AI Inventory and Discovery</t>
  </si>
  <si>
    <t>Use case and system registers maintained; risk tiering criteria applied; rejected applications retained permanently.</t>
  </si>
  <si>
    <t>AI_Use_Case_Inventory (A-01); AI_System_Inventory (A-02); AI_Risk_Classification (A-03)</t>
  </si>
  <si>
    <t>EU AI Act Art. 6 &amp; Annex III; ISO/IEC 42001 Cl. 8; EBA Model Inventory</t>
  </si>
  <si>
    <t>Developing. Complete for known systems (CDA governed), but SYS-003 was registered retrospectively. Shadow AI and embedded third-party discovery remains partially reactive.</t>
  </si>
  <si>
    <t>D4</t>
  </si>
  <si>
    <t>Risk Management</t>
  </si>
  <si>
    <t>Register with anchored scoring; quantitative risk appetite defined; failure modes scored; treatments verified independently.</t>
  </si>
  <si>
    <t>AI_Risk_Register (A-09); AI_FMEA (A-10); Risk_Treatment_Plan (A-11); AI_Risk_Management_Policy (A-12)</t>
  </si>
  <si>
    <t>ISO/IEC 23894; NIST AI RMF MAP/MANAGE; EU AI Act Art. 9; ISO 31000</t>
  </si>
  <si>
    <t>Defined. Rigorously applied to the CDA hybrid architecture (20 enterprise risks, 18 failure modes); appetite is calibrated to that system's profile rather than a portfolio-wide baseline.</t>
  </si>
  <si>
    <t>D5</t>
  </si>
  <si>
    <t>Data Governance</t>
  </si>
  <si>
    <t>Data lineage and provenance recorded; metadata purpose declaration mandatory; data minimisation assessed per field.</t>
  </si>
  <si>
    <t>Data_Governance_and_Privacy_Policy_for_AI (A-13); Data_Lineage_and_Provenance (A-14); PANOPTIC DPIA (A-35)</t>
  </si>
  <si>
    <t>EU AI Act Art. 10; GDPR Art. 5/25; DAMA-DMBOK; BCBS 239 Principle 3</t>
  </si>
  <si>
    <t>Defined. Mandatory proxy-inference prompt (Q2.4) established. Metadata control exists because postal metadata in retrieval corpus failed at Gate 2 and was caught by testing, not design review.</t>
  </si>
  <si>
    <t>D6</t>
  </si>
  <si>
    <t>Fairness and Bias Assurance</t>
  </si>
  <si>
    <t>Thresholds pre-declared before testing; counterfactual pair testing executed; quarterly cadence; failure recorded and acted on.</t>
  </si>
  <si>
    <t>Algorithmic_Explainability_and_Bias_Testing_Report (A-15); A-12 §2; A-28</t>
  </si>
  <si>
    <t>EU AI Act Art. 10; MAS FEAT Fairness; GDPR Recital 71; OECD AI Principles</t>
  </si>
  <si>
    <t>Defined. Strongest dimension in technical methodology. Testing to date is on 240 synthetic counterfactual profiles (DIR 0.67 -&gt; 0.89); live-traffic demographic drift monitoring has not yet completed a cycle.</t>
  </si>
  <si>
    <t>D7</t>
  </si>
  <si>
    <t>Model Lifecycle Management</t>
  </si>
  <si>
    <t>Registry with selection scores and verification dates; change and deprecation log with trigger rules; 70/15/15 custody partition.</t>
  </si>
  <si>
    <t>AI_Model_Registry (A-18); Model_Change_and_Deprecation_Log (A-40); A-28</t>
  </si>
  <si>
    <t>ISO/IEC 23053; EU AI Act Art. 11 &amp; 72; DORA Change Management; SR 11-7</t>
  </si>
  <si>
    <t>Developing. Three quarterly verification criteria (G-02, G-05, G-07) are currently overdue in A-18, and foundation model deprecation notice requires migration re-evaluation.</t>
  </si>
  <si>
    <t>D8</t>
  </si>
  <si>
    <t>Control Implementation and Testing</t>
  </si>
  <si>
    <t>Enforcement at permission layer; effectiveness distinguished from configuration; testing indexed; 71% effectiveness-tested.</t>
  </si>
  <si>
    <t>Risk_Treatment_Plan (A-11); AI_Red_Teaming_and_Threat_Matrix (A-39); GenAI_Policy_Compliance_Tracker (A-24)</t>
  </si>
  <si>
    <t>ISO/IEC 42001 Cl. 8; DORA Art. 24; NIST AI RMF MEASURE; MAS TRM Ch. 5</t>
  </si>
  <si>
    <t>Defined. 71% of controls effectiveness-tested in A-11; active denial logs captured (ENF-01). One specified control (GDR-06) is regionally constrained (Singapore ap-southeast-1) and carried as R-12.</t>
  </si>
  <si>
    <t>D9</t>
  </si>
  <si>
    <t>Human Oversight</t>
  </si>
  <si>
    <t>Underwriter procedure with 4 testable checks; review floor &gt;= 3.5 mins; two-sided override band (15%–40%); version-bound attestation.</t>
  </si>
  <si>
    <t>Human_Oversight_and_Escalation_Procedure (A-36); AI_Literacy_and_Competency_Record (A-38)</t>
  </si>
  <si>
    <t>EU AI Act Art. 14; GDPR Art. 22; MAS FEAT Accountability; EBA Guidelines</t>
  </si>
  <si>
    <t>Defined. Four mandatory checks and override monitoring bands active. One underwriter was blocked from production adjudications pending attestation, correctly recorded rather than waived.</t>
  </si>
  <si>
    <t>D10</t>
  </si>
  <si>
    <t>Transparency and Recourse</t>
  </si>
  <si>
    <t>AI assistance disclosed; true SHAP drivers provided; passage citations required; independent re-review by different officer within 10 days.</t>
  </si>
  <si>
    <t>Adverse_Action_and_Customer_Recourse_Procedure (A-37); Model_Card (A-19)</t>
  </si>
  <si>
    <t>EU AI Act Art. 13 &amp; 86; GDPR Art. 13-15, 22; MAS FEAT Transparency</t>
  </si>
  <si>
    <t>Developing. The procedural recourse route exists on paper, but has not yet handled an empirical live contested credit dispute. Untested operational procedures score 2.</t>
  </si>
  <si>
    <t>D11</t>
  </si>
  <si>
    <t>Monitoring and Incident Response</t>
  </si>
  <si>
    <t>Metrics with owners and thresholds; telemetry baselines captured; kill switch tested (&lt;4 mins); concurrent regulatory clocks assessed.</t>
  </si>
  <si>
    <t>Post_Deployment_Monitoring_and_Review_Policy (A-30); AI_Incident_Response_Playbook (A-32); AI_Kill_Switch (A-34)</t>
  </si>
  <si>
    <t>EU AI Act Art. 72 &amp; 73; MAS TRM Ch. 13; DORA Incident Reporting; GDPR Art. 33/34</t>
  </si>
  <si>
    <t>Defined. Incident playbook populated with 8 specific scenarios and 6-step lifecycle; two quarterly monitoring cycles completed, which is insufficient longitudinal history for trend analysis.</t>
  </si>
  <si>
    <t>D12</t>
  </si>
  <si>
    <t>Independent Assurance</t>
  </si>
  <si>
    <t>Audit charter with effectiveness mandate; 3LoD independence; right to review without notice; findings closed only by re-test.</t>
  </si>
  <si>
    <t>AI_Audit_Charter (A-31); AI_Governance_Strategy_Document (A-25 §5)</t>
  </si>
  <si>
    <t>EU AI Act Art. 17 &amp; 26(5); ISO/IEC 42001 Cl. 9.2; IIA Standards; MAS TRM Ch. 3</t>
  </si>
  <si>
    <t>Critical</t>
  </si>
  <si>
    <t>Initial / Ad Hoc. Lowest score in estate. Standing charter (A-31) approved, but Internal Audit has not yet executed a formal third-line audit pass. All testing to date is 2nd-line verified by framework author.</t>
  </si>
  <si>
    <t>D13</t>
  </si>
  <si>
    <t>Vendor and Third-Party Management</t>
  </si>
  <si>
    <t>Disqualifying conditions screened first; provider-deployer boundary matrix codified; contractual DPA covenants; vendor rejected.</t>
  </si>
  <si>
    <t>AI_Vendor_Assessment_Plan (A-16); AI_Vendor_Due_Diligence_Checklist (A-17)</t>
  </si>
  <si>
    <t>EU AI Act Art. 25, 26, 53; MAS TRM Ch. 5; MAS Outsourcing Guidelines; ISO 42001</t>
  </si>
  <si>
    <t>Defined. Managed platform sourcing justified against self-hosting. UC-006 (HR CV screening) was rejected outright on a disclosure failure, proving the pre-screening disqualification gate operates.</t>
  </si>
  <si>
    <t>D14</t>
  </si>
  <si>
    <t>Skills and Literacy</t>
  </si>
  <si>
    <t>Mandatory AI literacy training within 30 days of onboarding; role-tailored curricula; version-bound underwriter attestation.</t>
  </si>
  <si>
    <t>AI_Literacy_and_Competency_Record (A-38); AI_Ethics_and_Responsible_Use_Policy (A-20 §6.1)</t>
  </si>
  <si>
    <t>EU AI Act Art. 4 (AI Literacy); ISO/IEC 42001 Cl. 7.2; MAS FEAT Accountability</t>
  </si>
  <si>
    <t>Medium</t>
  </si>
  <si>
    <t>Developing. Role-specific competencies defined and recorded for underwriting and risk teams; full enterprise workforce-wide literacy training has not yet completed an annual cycle.</t>
  </si>
  <si>
    <t>D15</t>
  </si>
  <si>
    <t>Decommissioning and Retention</t>
  </si>
  <si>
    <t>Retention plan approved at go-live; 7-year immutable S3 WORM vault; evidence secured before model retirement.</t>
  </si>
  <si>
    <t>Decommissioning_and_Records_Retention_Plan (A-41); A-33 Rollback Log</t>
  </si>
  <si>
    <t>EU AI Act Art. 12; GDPR Art. 5(1)(e); SEC 17a-4 / FINRA WORM; ISO 42001</t>
  </si>
  <si>
    <t>Developing. Architectural retention plan is structurally sound (Object Lock in Compliance Mode) but entirely untested in practice — no system has been decommissioned and no archive retrieval test has run.</t>
  </si>
  <si>
    <t>OVERALL ENTERPRISE MATURITY SUMMARY</t>
  </si>
  <si>
    <t>Dimensions Assessed</t>
  </si>
  <si>
    <t>Total core governance dimensions evaluated across Data &amp; AI estate</t>
  </si>
  <si>
    <t>Overall Mean Maturity Score</t>
  </si>
  <si>
    <t>Authentic 2nd-line baseline maturity (2.6 / 5.0) — proven on one system over 8 months</t>
  </si>
  <si>
    <t>Overall Mean Target Score</t>
  </si>
  <si>
    <t>Target maturity across estate by Q4 2027 (3.9 / 5.0) upon multi-system execution</t>
  </si>
  <si>
    <t>Overall Average Gap</t>
  </si>
  <si>
    <t>Net capability uplift required across estate to achieve target state</t>
  </si>
  <si>
    <t>Dimensions at or above Defined (Level 3+)</t>
  </si>
  <si>
    <t>Dimensions with documented, repeatable, evidence-based controls (9 of 15)</t>
  </si>
  <si>
    <t>Dimensions Developing or below (Level &lt;= 2)</t>
  </si>
  <si>
    <t>Priority dimensions requiring active gap remediation (6 of 15)</t>
  </si>
  <si>
    <t>Lowest Scoring Dimension</t>
  </si>
  <si>
    <t>D12 Independent Assurance (1 / 5)</t>
  </si>
  <si>
    <t>Internal Audit has not completed a third-line pass; all testing to date is 2nd-line verified</t>
  </si>
  <si>
    <t>Largest Single Gap</t>
  </si>
  <si>
    <t>2.0 levels (D3 Inventory, D7 Lifecycle, D10 Recourse, D12 Assurance, D14 Literacy)</t>
  </si>
  <si>
    <t>CRITICAL AUDIT ASSURANCE NOTE:</t>
  </si>
  <si>
    <t>D12 Independent Assurance is the lowest score (1 / 5) and the most consequential finding in this entire workbook. Every other dimension score is self-reported by the second-line AI Governance function that authored the framework. Until an independent third-line pass by Internal Audit has formally validated the control estate under Charter A-31, this assessment represents what the framework intends, verified only by its designer. Acknowledging this limitation openly is the core hallmark of mature audit credibility.</t>
  </si>
  <si>
    <t>GAP REMEDIATION ACTION PLAN</t>
  </si>
  <si>
    <t>Every dimension scoring 2 or below, with a specific, time-bound operational action. Gaps without actions are observations.</t>
  </si>
  <si>
    <t>MOVEMENT</t>
  </si>
  <si>
    <t>REMEDIATION ACTION REQUIRED</t>
  </si>
  <si>
    <t>ACCOUNTABLE OWNER</t>
  </si>
  <si>
    <t>TARGET DATE</t>
  </si>
  <si>
    <t>GOVERNANCE RATIONALE</t>
  </si>
  <si>
    <t>1 -&gt; 3</t>
  </si>
  <si>
    <t>Commission a formal third-line Internal Audit pass over the governance framework and the CDA control set under Charter A-31.</t>
  </si>
  <si>
    <t>Chief Audit Executive</t>
  </si>
  <si>
    <t>2027-Q1</t>
  </si>
  <si>
    <t>Highest priority in the estate. Converts author-reported self-assessment into independently tested and verified assurance.</t>
  </si>
  <si>
    <t>2 -&gt; 4</t>
  </si>
  <si>
    <t>Implement automated CI/CD pipeline scanning and cloud API discovery sweeps to detect shadow AI; enforce recurring vendor-notification requirement.</t>
  </si>
  <si>
    <t>2026-Q4</t>
  </si>
  <si>
    <t>Closes vulnerability exposed by retrospective registration of SYS-003. An inventory dependent on manual notification is not an inventory.</t>
  </si>
  <si>
    <t>Execute re-verification for overdue criteria G-02, G-05, G-07 (ACT-003); automate due-date alerts; complete migration assessment for deprecated foundation model.</t>
  </si>
  <si>
    <t>AI Governance Lead / AI-CoE</t>
  </si>
  <si>
    <t>The verification cadence is defined but overdue in A-18. Operational discipline requires maintaining evidence currency.</t>
  </si>
  <si>
    <t>Execute a live-fire simulation of the customer recourse procedure (A-37) with synthetic contested credit denial profiles through independent senior underwriters.</t>
  </si>
  <si>
    <t>Head of Compliance</t>
  </si>
  <si>
    <t>An untested operational procedure is merely a hypothesis. Live testing verifies the 10-day SLA and dispute documentation.</t>
  </si>
  <si>
    <t>Roll out mandatory role-tailored AI literacy curriculum across retail credit, legal, compliance, and IT; track completion in A-38 to &gt;=95% floor.</t>
  </si>
  <si>
    <t>HR with AI Governance Lead</t>
  </si>
  <si>
    <t>EU AI Act Article 4 obligation is continuous. Frontline credit underwriters must be attested against four-check procedure.</t>
  </si>
  <si>
    <t>2 -&gt; 3</t>
  </si>
  <si>
    <t>Conduct end-to-end archive retrieval drill from immutable S3 WORM vault (AWS Object Lock in Compliance Mode) to test 7-year retention integrity.</t>
  </si>
  <si>
    <t>Closes open verification item for R-14 on Enterprise Risk Register. Demonstrates regulatory readiness under SEC 17a-4 and EU AI Act Art. 12.</t>
  </si>
  <si>
    <t>EXECUTIVE KEY FINDINGS AND OBSERVATIONS LOG</t>
  </si>
  <si>
    <t>Structured governance findings, supervisory concerns, root-cause analyses, and management responses (Checklist Section 11 alignment)</t>
  </si>
  <si>
    <t>FINDING CATEGORY</t>
  </si>
  <si>
    <t>DESCRIPTION &amp; IMPACT FOR PROJECT 4</t>
  </si>
  <si>
    <t>PRIMARY EVIDENCE SOURCE</t>
  </si>
  <si>
    <t>Key Strengths</t>
  </si>
  <si>
    <t>Architectural layer separation (XGBoost scoring vs. RAG narration); pre-declared fairness thresholds with documented Gate 2 block (DIR 0.67 -&gt; 0.89); 71% of controls effectiveness-tested; immutable S3 WORM audit vault.</t>
  </si>
  <si>
    <t>A-04, A-11, A-15, A-28, A-41</t>
  </si>
  <si>
    <t>Key Gaps</t>
  </si>
  <si>
    <t>Third-line independent assurance pass not yet executed (D12 scored at 1/5); three quarterly foundation model verification criteria overdue in A-18; shadow AI discovery partially reactive.</t>
  </si>
  <si>
    <t>A-31 §8, A-18 VERIFICATION-STATUS, A-43</t>
  </si>
  <si>
    <t>High-Risk Findings</t>
  </si>
  <si>
    <t>Cloud provider deprecation notice received for pinned foundation model (MDL-002); Singapore ap-southeast-1 regional constraint for formal rule verifier (R-12 accepted with conditions).</t>
  </si>
  <si>
    <t>A-18 CHANGE-LOG, A-09 R-12, A-12 §4</t>
  </si>
  <si>
    <t>Regulatory Concerns</t>
  </si>
  <si>
    <t>EU AI Act Annex III(5)(b) high-risk conformity documentation requires external audit verification; MAS TRM Chapter 3 IT audit independence must be evidenced via third line.</t>
  </si>
  <si>
    <t>EU AI Act Art. 17/26, MAS TRM Ch. 3</t>
  </si>
  <si>
    <t>Quick Wins</t>
  </si>
  <si>
    <t>Re-run verification checks for overdue criteria G-02, G-05, G-07 (ACT-003); conduct live-fire test of customer recourse procedure (A-37); execute S3 WORM retrieval drill.</t>
  </si>
  <si>
    <t>A-18, A-37, A-41</t>
  </si>
  <si>
    <t>Management Judgements</t>
  </si>
  <si>
    <t>Acceptance of residual risk R-12 backed by compensating 4-point human underwriter checks and quarterly regional availability monitoring, signed off by named executive role.</t>
  </si>
  <si>
    <t>A-09, A-12 §4, A-26 §3</t>
  </si>
  <si>
    <t>Independent Validation Needs</t>
  </si>
  <si>
    <t>Third-line re-performance of 240-profile counterfactual fairness suite, XGBoost Brier score calibration, and AWS Bedrock adversarial prompt-injection penetration test.</t>
  </si>
  <si>
    <t>A-15, A-31 §4, A-39</t>
  </si>
  <si>
    <t>DETAILED GOVERNANCE FINDINGS LOG</t>
  </si>
  <si>
    <t>FINDING ID</t>
  </si>
  <si>
    <t>DIMENSION</t>
  </si>
  <si>
    <t>FINDING SUMMARY</t>
  </si>
  <si>
    <t>ROOT CAUSE ANALYSIS</t>
  </si>
  <si>
    <t>RISK &amp; REGULATORY IMPACT</t>
  </si>
  <si>
    <t>RECOMMENDED REMEDIATION ACTION</t>
  </si>
  <si>
    <t>OWNER</t>
  </si>
  <si>
    <t>MANAGEMENT RESPONSE</t>
  </si>
  <si>
    <t>F-001</t>
  </si>
  <si>
    <t>D12 Independent Assurance</t>
  </si>
  <si>
    <t>Third-line Internal Audit has not yet performed a formal independent assurance pass over the AI governance framework or the CDA system.</t>
  </si>
  <si>
    <t>Resource sequencing prioritized 2nd-line framework construction, testing harness design, and gate control operation before commissioning 3rd-line audit.</t>
  </si>
  <si>
    <t>Limits overall assurance credibility to 2nd-line self-reporting (2.6/5); leaves EU AI Act Art. 17 and MAS TRM Ch. 3 independent audit expectations partially fulfilled.</t>
  </si>
  <si>
    <t>Commission Internal Audit to execute full independent effectiveness pass under Charter A-31, re-performing core fairness and calibration tests.</t>
  </si>
  <si>
    <t>Agreed. Audit plan scheduled for Q1 2027. Second-line evidence dossiers and WORM vault logs compiled for review.</t>
  </si>
  <si>
    <t>F-002</t>
  </si>
  <si>
    <t>D7 Model Lifecycle</t>
  </si>
  <si>
    <t>Three quarterly foundation model selection verification criteria (G-02, G-05, G-07) are overdue for re-validation in AI Model Registry (A-18).</t>
  </si>
  <si>
    <t>Manual calendar tracking in review meetings rather than automated alerts; attention diverted to Gate 2 fairness remediation.</t>
  </si>
  <si>
    <t>Risk of operating on stale vendor assumptions regarding regional control availability, citation fidelity, and per-token unit pricing.</t>
  </si>
  <si>
    <t>Execute immediate re-verification test against lending policy corpus; automate due-date notification alarms in CI/CD registry pipeline.</t>
  </si>
  <si>
    <t>Agreed. Active action ACT-003 assigned to AI-CoE. Results to be tabled at next AI Governance Committee meeting.</t>
  </si>
  <si>
    <t>F-003</t>
  </si>
  <si>
    <t>D3 Inventory &amp; Discovery</t>
  </si>
  <si>
    <t>Retrospective discovery of internal model SYS-003 indicates that enterprise AI inventory discovery is partially reactive.</t>
  </si>
  <si>
    <t>Decentralized business experimentation without automated cloud infrastructure inspection or procurement intercept gates.</t>
  </si>
  <si>
    <t>Shadow AI deployments bypassing mandatory stage-gate governance, security threat modeling, and regulatory risk tiering.</t>
  </si>
  <si>
    <t>Deploy automated cloud API discovery scanners across AWS accounts; establish mandatory procurement intercept checklist (A-16/A-17).</t>
  </si>
  <si>
    <t>Agreed. Enterprise procurement workflow updated; shadow AI discovery sweep scheduled for October 2026.</t>
  </si>
  <si>
    <t>F-004</t>
  </si>
  <si>
    <t>D10 Transparency &amp; Recourse</t>
  </si>
  <si>
    <t>Customer adverse-action recourse and independent re-review procedure (A-37) has not been tested in live-fire operations.</t>
  </si>
  <si>
    <t>CDA system is in pre-pilot authorization (Gate 5); no real declined applicant disputes have yet entered the formal recourse queue.</t>
  </si>
  <si>
    <t>Risk that the 10-day dispute resolution SLA or underwriter handoff to a second officer breaks down under real customer challenge volume.</t>
  </si>
  <si>
    <t>Conduct live-fire tabletop simulation using 20 synthetic disputed loan denial files; validate underwriter dispute records and re-review logs.</t>
  </si>
  <si>
    <t>Agreed. Compliance will execute simulation drill with Retail Lending Operations prior to full commercial traffic cutover.</t>
  </si>
  <si>
    <t>F-005</t>
  </si>
  <si>
    <t>D15 Decommissioning &amp; Retention</t>
  </si>
  <si>
    <t>7-year records retention and audit retrieval capability has not been tested against the immutable S3 WORM audit vault.</t>
  </si>
  <si>
    <t>Storage configuration implemented at Gate 3; formal recovery drill scheduled for annual review cycle.</t>
  </si>
  <si>
    <t>Unverified retrieval latency could impede regulatory discovery during mandatory supervisory investigations or legal challenges.</t>
  </si>
  <si>
    <t>Execute automated retrieval test extracting a randomized sample of 100 historical inference records from S3 Object Lock archive.</t>
  </si>
  <si>
    <t>Security Architecture</t>
  </si>
  <si>
    <t>Agreed. Test script scheduled to execute in sprint 24; results will be submitted to DPO and Model Risk Lead.</t>
  </si>
  <si>
    <t>F-006</t>
  </si>
  <si>
    <t>D14 Skills &amp; Literacy</t>
  </si>
  <si>
    <t>Enterprise-wide workforce AI literacy training has not completed a full annual cycle, though underwriter role training is active.</t>
  </si>
  <si>
    <t>Training rollout prioritized front-line loan underwriters and model risk teams over broader banking personnel.</t>
  </si>
  <si>
    <t>EU AI Act Article 4 non-compliance exposure regarding general employee awareness of AI-assisted decision boundaries and whistleblowing.</t>
  </si>
  <si>
    <t>Launch standardized LMS curriculum for general staff; track mandatory completion to &gt;=95% threshold in A-38.</t>
  </si>
  <si>
    <t>HR with AI Gov Lead</t>
  </si>
  <si>
    <t>Agreed. LMS module finalized; mandatory annual training window opens November 2026.</t>
  </si>
  <si>
    <t>GOVERNANCE RISK HEATMAP &amp; MULTI-FACTOR PRIORITISATION</t>
  </si>
  <si>
    <t>5x5 Impact vs Likelihood Matrix and multi-factor weighted scoring for gap remediation (Checklist Section 12 alignment)</t>
  </si>
  <si>
    <t>5x5 GOVERNANCE RISK MATRIX (IMPACT vs LIKELIHOOD)</t>
  </si>
  <si>
    <t>IMPACT \ LIKELIHOOD</t>
  </si>
  <si>
    <t>1 RARE</t>
  </si>
  <si>
    <t>2 UNLIKELY</t>
  </si>
  <si>
    <t>3 POSSIBLE</t>
  </si>
  <si>
    <t>4 LIKELY</t>
  </si>
  <si>
    <t>5 ALMOST CERTAIN</t>
  </si>
  <si>
    <t>5 Severe</t>
  </si>
  <si>
    <t>High [F-002 Overdue]</t>
  </si>
  <si>
    <t>Critical [F-001 Assurance]</t>
  </si>
  <si>
    <t>4 Major</t>
  </si>
  <si>
    <t>High [F-003 Discovery]</t>
  </si>
  <si>
    <t>High [F-004 Recourse]</t>
  </si>
  <si>
    <t>3 Moderate</t>
  </si>
  <si>
    <t>Low</t>
  </si>
  <si>
    <t>Medium [F-005 Retention]</t>
  </si>
  <si>
    <t>2 Minor</t>
  </si>
  <si>
    <t>Medium [F-006 Literacy]</t>
  </si>
  <si>
    <t>1 Insignificant</t>
  </si>
  <si>
    <t>MULTI-FACTOR REMEDIATION PRIORITISATION SCORING</t>
  </si>
  <si>
    <t>RISK EVENT / GAP</t>
  </si>
  <si>
    <t>REGULATORY CRITICALITY (W=0.35)</t>
  </si>
  <si>
    <t>CUSTOMER IMPACT (W=0.25)</t>
  </si>
  <si>
    <t>CONTROL DEPENDENCY (W=0.20)</t>
  </si>
  <si>
    <t>TIME SENSITIVITY (W=0.20)</t>
  </si>
  <si>
    <t>WEIGHTED SCORE (1-5)</t>
  </si>
  <si>
    <t>PRIORITY RANK</t>
  </si>
  <si>
    <t>REMEDIATION HORIZON</t>
  </si>
  <si>
    <t>Lack of 3rd-line audit pass; reliance on 2nd-line self-reporting</t>
  </si>
  <si>
    <t>CRITICAL (Rank 1)</t>
  </si>
  <si>
    <t>Horizon 2 (3-6 Mos)</t>
  </si>
  <si>
    <t>Three quarterly verification criteria overdue in Model Registry (A-18)</t>
  </si>
  <si>
    <t>HIGH (Rank 2)</t>
  </si>
  <si>
    <t>Horizon 1 (0-3 Mos)</t>
  </si>
  <si>
    <t>D3 AI Inventory</t>
  </si>
  <si>
    <t>Retrospective registration of SYS-003; shadow AI discovery gap</t>
  </si>
  <si>
    <t>HIGH (Rank 3)</t>
  </si>
  <si>
    <t>Untested customer adverse-action dispute resolution procedure</t>
  </si>
  <si>
    <t>HIGH (Rank 4)</t>
  </si>
  <si>
    <t>Untested evidence retrieval drill from immutable S3 WORM vault</t>
  </si>
  <si>
    <t>MEDIUM (Rank 5)</t>
  </si>
  <si>
    <t>Incomplete enterprise-wide annual AI literacy training cycle</t>
  </si>
  <si>
    <t>MEDIUM (Rank 6)</t>
  </si>
  <si>
    <t>ENTERPRISE AI GOVERNANCE REMEDIATION ROADMAP</t>
  </si>
  <si>
    <t>Phased 4-Horizon implementation plan to close identified gaps and progress maturity from 2.6 to 4.0 (Checklist Section 13 alignment)</t>
  </si>
  <si>
    <t>HORIZON</t>
  </si>
  <si>
    <t>IDENTIFIED GAP</t>
  </si>
  <si>
    <t>RECOMMENDED ACTION</t>
  </si>
  <si>
    <t>RISK ADDRESSED</t>
  </si>
  <si>
    <t>EXPECTED BENEFIT</t>
  </si>
  <si>
    <t>COMPLEXITY</t>
  </si>
  <si>
    <t>Horizon 1 (0–3 Months)</t>
  </si>
  <si>
    <t>Overdue verification criteria in A-18 (G-02, G-05, G-07).</t>
  </si>
  <si>
    <t>Re-verify regional controls, empirical citation fidelity, and pricing against successor Bedrock Claude model; automate alerts.</t>
  </si>
  <si>
    <t>Model obsolescence; operating under unconfirmed provider terms.</t>
  </si>
  <si>
    <t>Restores registry currency; prepares migration path for deprecated model.</t>
  </si>
  <si>
    <t>In Progress</t>
  </si>
  <si>
    <t>Reactive discovery of embedded third-party AI (SYS-003).</t>
  </si>
  <si>
    <t>Deploy automated cloud API discovery sweep across AWS environments; mandate procurement intake intercept.</t>
  </si>
  <si>
    <t>Shadow AI deployments bypassing mandatory governance gates.</t>
  </si>
  <si>
    <t>Establishes 100% visibility over internal and vendor AI components.</t>
  </si>
  <si>
    <t>Customer dispute recourse procedure (A-37) untested in practice.</t>
  </si>
  <si>
    <t>Execute live-fire simulation of dispute workflow using synthetic denied applicant profiles with independent underwriters.</t>
  </si>
  <si>
    <t>Procedural breakdown or SLA breach under live customer dispute challenge.</t>
  </si>
  <si>
    <t>Verifies operational readiness and 10-day review floor prior to go-live.</t>
  </si>
  <si>
    <t>Scheduled</t>
  </si>
  <si>
    <t>7-year audit trail retrieval untested against live S3 WORM vault.</t>
  </si>
  <si>
    <t>Execute automated retrieval drill extracting sample of 100 historical decisions and prompt/embedding hashes.</t>
  </si>
  <si>
    <t>Inability to rapidly reconstruct decisions during supervisory inquiry.</t>
  </si>
  <si>
    <t>Evidences SEC 17a-4 and EU AI Act Art. 12 audit retrieval readiness.</t>
  </si>
  <si>
    <t>Horizon 2 (3–6 Months)</t>
  </si>
  <si>
    <t>No formal third-line Internal Audit pass completed (1/5 score).</t>
  </si>
  <si>
    <t>Commission Internal Audit to execute full independent audit pass over framework and CDA system under Charter A-31.</t>
  </si>
  <si>
    <t>Lack of external assurance credibility; supervisory criticism under MAS TRM.</t>
  </si>
  <si>
    <t>Advances D12 from 1/5 to 3/5; provides objective board assurance.</t>
  </si>
  <si>
    <t>Planned</t>
  </si>
  <si>
    <t>Enterprise-wide workforce AI literacy incomplete.</t>
  </si>
  <si>
    <t>Roll out mandatory LMS AI literacy module across all banking divisions; track completion to &gt;=95% floor in A-38.</t>
  </si>
  <si>
    <t>Employee misuse of GenAI tools; non-compliance with EU AI Act Art. 4.</t>
  </si>
  <si>
    <t>Institutionalizes responsible AI culture and whistleblowing awareness.</t>
  </si>
  <si>
    <t>Horizon 3 (6–12 Months)</t>
  </si>
  <si>
    <t>Fairness testing limited to synthetic counterfactual profiles.</t>
  </si>
  <si>
    <t>Implement continuous demographic parity and DIR monitoring against live-traffic distributions across borrower cohorts.</t>
  </si>
  <si>
    <t>Latent demographic bias emerging from post-deployment applicant drift.</t>
  </si>
  <si>
    <t>Guarantees real-world fairness parity (DIR &gt;= 0.80) across lending cycles.</t>
  </si>
  <si>
    <t>Model Risk Lead</t>
  </si>
  <si>
    <t>2027-Q2</t>
  </si>
  <si>
    <t>Horizon 4 (12+ Months)</t>
  </si>
  <si>
    <t>D1-D15</t>
  </si>
  <si>
    <t>Enterprise Optimization</t>
  </si>
  <si>
    <t>Framework proven on single system (CDA) over 8 months.</t>
  </si>
  <si>
    <t>Scale governance operating model across second and third AI pipelines; pursue formal ISO/IEC 42001 certification.</t>
  </si>
  <si>
    <t>Governance framework remaining localized rather than enterprise-wide.</t>
  </si>
  <si>
    <t>Advances maturity from 2.6 baseline to Level 4 (Managed / Optimised).</t>
  </si>
  <si>
    <t>2027-Q4</t>
  </si>
  <si>
    <t>Roadmap</t>
  </si>
  <si>
    <t>MATURITY TRAJECTORY AND STRATEGIC CONSTRAINTS</t>
  </si>
  <si>
    <t>Where the governance framework currently stands, and the honest operational constraints on progression.</t>
  </si>
  <si>
    <t>ASSESSMENT POINT</t>
  </si>
  <si>
    <t>MATURITY SCORE</t>
  </si>
  <si>
    <t>OPERATIONAL STATUS &amp; CONSTRAINING RATIONALE</t>
  </si>
  <si>
    <t>Baseline — 2026-09</t>
  </si>
  <si>
    <t>2.6 / 5.0</t>
  </si>
  <si>
    <t>First completed self-assessment. Second-line governance framework proven on one system (Credit Decisioning Assistant) over eight months.</t>
  </si>
  <si>
    <t>Target — 2027-09</t>
  </si>
  <si>
    <t>3.9 / 5.0</t>
  </si>
  <si>
    <t>Requires execution of the six primary gap remediation actions, completion of third-line audit pass (D12), and onboarding of systems 2 and 3.</t>
  </si>
  <si>
    <t>Constraint 1: Longitudinal Time</t>
  </si>
  <si>
    <t>Binding Constraint</t>
  </si>
  <si>
    <t>Maturity above Defined (Level 3) strictly requires empirical evidence of control operation across multiple cycles. Time cannot be compressed by effort.</t>
  </si>
  <si>
    <t>Constraint 2: Multi-System Breadth</t>
  </si>
  <si>
    <t>Portfolio dimensions (D3 Inventory, D4 Risk) cannot exceed Defined (Level 3) while only one system has completed the full lifecycle. A framework proven once is proven once.</t>
  </si>
  <si>
    <t>Constraint 3: Third-Line Independence</t>
  </si>
  <si>
    <t>Dimension D12 (Independent Assurance) is the binding constraint on the credibility of every other score in this workbook. It depends on Internal Audit capacity outside the governance team's authority.</t>
  </si>
  <si>
    <t>SOURCES AND ATTRIBUTION</t>
  </si>
  <si>
    <t>Authoritative regulatory standards, industry frameworks, and supervisory references informing this self-assessment.</t>
  </si>
  <si>
    <t>GOVERNANCE SOURCE &amp; FRAMEWORK</t>
  </si>
  <si>
    <t>WHAT IT CONTRIBUTED</t>
  </si>
  <si>
    <t>HOW THIS ASSESSMENT OPERATIONALIZES OR EXTENDS IT</t>
  </si>
  <si>
    <t>Financial Services Data &amp; AI Maturity Framework (July 2026 Checklist)</t>
  </si>
  <si>
    <t>Overall 15-dimension evaluation structure, evidence-based scoring methodology, and 0-5 maturity scale.</t>
  </si>
  <si>
    <t>Adopted core financial services structure; extended with explicit CDA dimensions (D10 Customer Recourse, D12 Independent Assurance, D15 Decommissioning).</t>
  </si>
  <si>
    <t>ISO/IEC 42001:2023 (Artificial Intelligence Management System)</t>
  </si>
  <si>
    <t>Management system clauses (Cl. 4-10) for leadership (D1), policy (D2), risk treatment (D4), and internal audit (D12).</t>
  </si>
  <si>
    <t>Applied as the foundational management-system standard for governance operating model and committee charters.</t>
  </si>
  <si>
    <t>NIST AI Risk Management Framework 1.0 (AI RMF)</t>
  </si>
  <si>
    <t>Core functions (GOVERN, MAP, MEASURE, MANAGE) and failure mode categorization.</t>
  </si>
  <si>
    <t>Informs quantitative scoring anchors for D4 (Risk Management), D6 (Fairness), and D8 (Control Implementation).</t>
  </si>
  <si>
    <t>EU AI Act (Regulation (EU) 2024/1689)</t>
  </si>
  <si>
    <t>High-risk categorization under Annex III(5)(b); mandatory deployer obligations under Art. 4, 10, 11, 13, 14, 26, 72, 73.</t>
  </si>
  <si>
    <t>Defines mandatory evidentiary standards for high-risk credit decisioning, customer explanation rights (Art. 86), and literacy training (Art. 4).</t>
  </si>
  <si>
    <t>Monetary Authority of Singapore (MAS) TRM Guidelines &amp; FEAT Principles</t>
  </si>
  <si>
    <t>Chapter 3 IT governance &amp; audit independence; Chapter 5 third-party risk; FEAT Principles for fairness, ethics, accountability, transparency.</t>
  </si>
  <si>
    <t>Shapes Three Lines of Defense segregation (A-25), vendor due diligence disqualifiers (A-17), and underwriter override band monitoring (A-36).</t>
  </si>
  <si>
    <t>Basel Committee BCBS 239 &amp; ECB RDARR Guide</t>
  </si>
  <si>
    <t>Principles for effective risk data aggregation, data lineage (Principle 3), accuracy, and supervisory reporting.</t>
  </si>
  <si>
    <t>Applied to feature store provenance, metadata purpose registration per field (A-14), and report traceability.</t>
  </si>
  <si>
    <t>GDPR (Regulation (EU) 2016/679) &amp; Singapore PDPA</t>
  </si>
  <si>
    <t>Article 22 automated decision-making safeguards; Article 33/34 data breach notification clocks; DPIA requirements (Article 35).</t>
  </si>
  <si>
    <t>Governs PANOPTIC DPIA (A-35), 6-entity PII redaction filters, and unconditional human recourse procedures (A-37).</t>
  </si>
  <si>
    <t>Federal Reserve SR 11-7 / OCC 2011-12</t>
  </si>
  <si>
    <t>Guidance on Model Risk Management: conceptual soundness, independent validation, ongoing monitoring, and outcome analysis.</t>
  </si>
  <si>
    <t>Defines independent Model Risk custody of test partitions (A-18) and Gate 4 independent quantitative validation standards.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</si>
</sst>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9.5"/>
      <color rgb="FF000000"/>
      <name val="Arial"/>
    </font>
    <font>
      <sz val="9.5"/>
      <color rgb="FF000000"/>
      <name val="Arial"/>
    </font>
    <font>
      <b/>
      <sz val="11"/>
      <color rgb="FF1F3864"/>
      <name val="Arial"/>
    </font>
    <font>
      <i/>
      <sz val="9"/>
      <color rgb="FF595959"/>
      <name val="Arial"/>
    </font>
    <font>
      <b/>
      <sz val="10"/>
      <color rgb="FF9C0006"/>
      <name val="Arial"/>
    </font>
    <font>
      <i/>
      <sz val="9.5"/>
      <color rgb="FF9C0006"/>
      <name val="Arial"/>
    </font>
    <font>
      <b/>
      <sz val="16"/>
      <color rgb="FF1F386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4F7"/>
        <bgColor rgb="FFF2F4F7"/>
      </patternFill>
    </fill>
    <fill>
      <patternFill patternType="solid">
        <fgColor rgb="FFE2EFDA"/>
        <bgColor rgb="FFE2EFDA"/>
      </patternFill>
    </fill>
    <fill>
      <patternFill patternType="solid">
        <fgColor rgb="FFF8CBAD"/>
        <bgColor rgb="FFF8CBAD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9" fillId="0" borderId="0" xfId="0" applyFont="1"/>
    <xf numFmtId="0" fontId="3" fillId="2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4" sqref="A4"/>
    </sheetView>
  </sheetViews>
  <sheetFormatPr defaultRowHeight="14.4" x14ac:dyDescent="0.3"/>
  <cols>
    <col min="1" max="1" width="28" customWidth="1"/>
    <col min="2" max="2" width="112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3" t="s">
        <v>3</v>
      </c>
    </row>
    <row r="5" spans="1:2" ht="24" x14ac:dyDescent="0.3">
      <c r="A5" s="4" t="s">
        <v>4</v>
      </c>
      <c r="B5" s="5" t="s">
        <v>5</v>
      </c>
    </row>
    <row r="6" spans="1:2" ht="24" x14ac:dyDescent="0.3">
      <c r="A6" s="4" t="s">
        <v>6</v>
      </c>
      <c r="B6" s="5" t="s">
        <v>7</v>
      </c>
    </row>
    <row r="7" spans="1:2" ht="36" x14ac:dyDescent="0.3">
      <c r="A7" s="4" t="s">
        <v>8</v>
      </c>
      <c r="B7" s="5" t="s">
        <v>9</v>
      </c>
    </row>
    <row r="8" spans="1:2" ht="36" x14ac:dyDescent="0.3">
      <c r="A8" s="4" t="s">
        <v>10</v>
      </c>
      <c r="B8" s="5" t="s">
        <v>11</v>
      </c>
    </row>
    <row r="9" spans="1:2" ht="36" x14ac:dyDescent="0.3">
      <c r="A9" s="4" t="s">
        <v>12</v>
      </c>
      <c r="B9" s="5" t="s">
        <v>13</v>
      </c>
    </row>
    <row r="10" spans="1:2" ht="24" x14ac:dyDescent="0.3">
      <c r="A10" s="4" t="s">
        <v>14</v>
      </c>
      <c r="B10" s="5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A4" sqref="A4"/>
    </sheetView>
  </sheetViews>
  <sheetFormatPr defaultRowHeight="14.4" x14ac:dyDescent="0.3"/>
  <cols>
    <col min="1" max="1" width="10" customWidth="1"/>
    <col min="2" max="2" width="13" customWidth="1"/>
    <col min="3" max="3" width="20" customWidth="1"/>
    <col min="4" max="4" width="25" customWidth="1"/>
    <col min="5" max="5" width="24" customWidth="1"/>
    <col min="6" max="6" width="14" customWidth="1"/>
    <col min="7" max="7" width="68" customWidth="1"/>
  </cols>
  <sheetData>
    <row r="1" spans="1:7" ht="17.399999999999999" x14ac:dyDescent="0.3">
      <c r="A1" s="1" t="s">
        <v>16</v>
      </c>
    </row>
    <row r="4" spans="1:7" x14ac:dyDescent="0.3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</row>
    <row r="5" spans="1:7" ht="24" x14ac:dyDescent="0.3">
      <c r="A5" s="6" t="s">
        <v>24</v>
      </c>
      <c r="B5" s="7" t="s">
        <v>25</v>
      </c>
      <c r="C5" s="5" t="s">
        <v>26</v>
      </c>
      <c r="D5" s="5" t="s">
        <v>27</v>
      </c>
      <c r="E5" s="5" t="s">
        <v>28</v>
      </c>
      <c r="F5" s="7" t="s">
        <v>29</v>
      </c>
      <c r="G5" s="5" t="s">
        <v>30</v>
      </c>
    </row>
    <row r="6" spans="1:7" ht="24" x14ac:dyDescent="0.3">
      <c r="A6" s="6" t="s">
        <v>31</v>
      </c>
      <c r="B6" s="7" t="s">
        <v>32</v>
      </c>
      <c r="C6" s="5" t="s">
        <v>26</v>
      </c>
      <c r="D6" s="5" t="s">
        <v>33</v>
      </c>
      <c r="E6" s="5" t="s">
        <v>34</v>
      </c>
      <c r="F6" s="7" t="s">
        <v>29</v>
      </c>
      <c r="G6" s="5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workbookViewId="0"/>
  </sheetViews>
  <sheetFormatPr defaultRowHeight="14.4" x14ac:dyDescent="0.3"/>
  <cols>
    <col min="1" max="1" width="8" customWidth="1"/>
    <col min="2" max="2" width="32" customWidth="1"/>
    <col min="3" max="3" width="44" customWidth="1"/>
    <col min="4" max="4" width="42" customWidth="1"/>
    <col min="5" max="5" width="38" customWidth="1"/>
    <col min="6" max="6" width="12" customWidth="1"/>
    <col min="7" max="8" width="9" customWidth="1"/>
    <col min="9" max="9" width="8" customWidth="1"/>
    <col min="10" max="10" width="64" customWidth="1"/>
  </cols>
  <sheetData>
    <row r="1" spans="1:10" ht="21" x14ac:dyDescent="0.4">
      <c r="A1" s="25" t="s">
        <v>36</v>
      </c>
    </row>
    <row r="2" spans="1:10" x14ac:dyDescent="0.3">
      <c r="A2" s="2" t="s">
        <v>37</v>
      </c>
    </row>
    <row r="4" spans="1:10" ht="26.4" x14ac:dyDescent="0.3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</row>
    <row r="5" spans="1:10" ht="36" x14ac:dyDescent="0.3">
      <c r="A5" s="6" t="s">
        <v>48</v>
      </c>
      <c r="B5" s="5" t="s">
        <v>49</v>
      </c>
      <c r="C5" s="5" t="s">
        <v>50</v>
      </c>
      <c r="D5" s="5" t="s">
        <v>51</v>
      </c>
      <c r="E5" s="5" t="s">
        <v>52</v>
      </c>
      <c r="F5" s="9" t="s">
        <v>53</v>
      </c>
      <c r="G5" s="10">
        <v>4</v>
      </c>
      <c r="H5" s="6">
        <v>4</v>
      </c>
      <c r="I5" s="6">
        <v>0</v>
      </c>
      <c r="J5" s="5" t="s">
        <v>54</v>
      </c>
    </row>
    <row r="6" spans="1:10" ht="36" x14ac:dyDescent="0.3">
      <c r="A6" s="6" t="s">
        <v>55</v>
      </c>
      <c r="B6" s="5" t="s">
        <v>56</v>
      </c>
      <c r="C6" s="5" t="s">
        <v>57</v>
      </c>
      <c r="D6" s="5" t="s">
        <v>58</v>
      </c>
      <c r="E6" s="5" t="s">
        <v>59</v>
      </c>
      <c r="F6" s="9" t="s">
        <v>53</v>
      </c>
      <c r="G6" s="11">
        <v>3</v>
      </c>
      <c r="H6" s="6">
        <v>4</v>
      </c>
      <c r="I6" s="6">
        <v>1</v>
      </c>
      <c r="J6" s="5" t="s">
        <v>60</v>
      </c>
    </row>
    <row r="7" spans="1:10" ht="36" x14ac:dyDescent="0.3">
      <c r="A7" s="6" t="s">
        <v>61</v>
      </c>
      <c r="B7" s="5" t="s">
        <v>62</v>
      </c>
      <c r="C7" s="5" t="s">
        <v>63</v>
      </c>
      <c r="D7" s="5" t="s">
        <v>64</v>
      </c>
      <c r="E7" s="5" t="s">
        <v>65</v>
      </c>
      <c r="F7" s="9" t="s">
        <v>53</v>
      </c>
      <c r="G7" s="12">
        <v>2</v>
      </c>
      <c r="H7" s="6">
        <v>4</v>
      </c>
      <c r="I7" s="6">
        <v>2</v>
      </c>
      <c r="J7" s="5" t="s">
        <v>66</v>
      </c>
    </row>
    <row r="8" spans="1:10" ht="36" x14ac:dyDescent="0.3">
      <c r="A8" s="6" t="s">
        <v>67</v>
      </c>
      <c r="B8" s="5" t="s">
        <v>68</v>
      </c>
      <c r="C8" s="5" t="s">
        <v>69</v>
      </c>
      <c r="D8" s="5" t="s">
        <v>70</v>
      </c>
      <c r="E8" s="5" t="s">
        <v>71</v>
      </c>
      <c r="F8" s="9" t="s">
        <v>53</v>
      </c>
      <c r="G8" s="11">
        <v>3</v>
      </c>
      <c r="H8" s="6">
        <v>4</v>
      </c>
      <c r="I8" s="6">
        <v>1</v>
      </c>
      <c r="J8" s="5" t="s">
        <v>72</v>
      </c>
    </row>
    <row r="9" spans="1:10" ht="36" x14ac:dyDescent="0.3">
      <c r="A9" s="6" t="s">
        <v>73</v>
      </c>
      <c r="B9" s="5" t="s">
        <v>74</v>
      </c>
      <c r="C9" s="5" t="s">
        <v>75</v>
      </c>
      <c r="D9" s="5" t="s">
        <v>76</v>
      </c>
      <c r="E9" s="5" t="s">
        <v>77</v>
      </c>
      <c r="F9" s="9" t="s">
        <v>53</v>
      </c>
      <c r="G9" s="11">
        <v>3</v>
      </c>
      <c r="H9" s="6">
        <v>4</v>
      </c>
      <c r="I9" s="6">
        <v>1</v>
      </c>
      <c r="J9" s="5" t="s">
        <v>78</v>
      </c>
    </row>
    <row r="10" spans="1:10" ht="36" x14ac:dyDescent="0.3">
      <c r="A10" s="6" t="s">
        <v>79</v>
      </c>
      <c r="B10" s="5" t="s">
        <v>80</v>
      </c>
      <c r="C10" s="5" t="s">
        <v>81</v>
      </c>
      <c r="D10" s="5" t="s">
        <v>82</v>
      </c>
      <c r="E10" s="5" t="s">
        <v>83</v>
      </c>
      <c r="F10" s="9" t="s">
        <v>53</v>
      </c>
      <c r="G10" s="11">
        <v>3</v>
      </c>
      <c r="H10" s="6">
        <v>4</v>
      </c>
      <c r="I10" s="6">
        <v>1</v>
      </c>
      <c r="J10" s="5" t="s">
        <v>84</v>
      </c>
    </row>
    <row r="11" spans="1:10" ht="36" x14ac:dyDescent="0.3">
      <c r="A11" s="6" t="s">
        <v>85</v>
      </c>
      <c r="B11" s="5" t="s">
        <v>86</v>
      </c>
      <c r="C11" s="5" t="s">
        <v>87</v>
      </c>
      <c r="D11" s="5" t="s">
        <v>88</v>
      </c>
      <c r="E11" s="5" t="s">
        <v>89</v>
      </c>
      <c r="F11" s="9" t="s">
        <v>53</v>
      </c>
      <c r="G11" s="12">
        <v>2</v>
      </c>
      <c r="H11" s="6">
        <v>4</v>
      </c>
      <c r="I11" s="6">
        <v>2</v>
      </c>
      <c r="J11" s="5" t="s">
        <v>90</v>
      </c>
    </row>
    <row r="12" spans="1:10" ht="36" x14ac:dyDescent="0.3">
      <c r="A12" s="6" t="s">
        <v>91</v>
      </c>
      <c r="B12" s="5" t="s">
        <v>92</v>
      </c>
      <c r="C12" s="5" t="s">
        <v>93</v>
      </c>
      <c r="D12" s="5" t="s">
        <v>94</v>
      </c>
      <c r="E12" s="5" t="s">
        <v>95</v>
      </c>
      <c r="F12" s="9" t="s">
        <v>53</v>
      </c>
      <c r="G12" s="11">
        <v>3</v>
      </c>
      <c r="H12" s="6">
        <v>4</v>
      </c>
      <c r="I12" s="6">
        <v>1</v>
      </c>
      <c r="J12" s="5" t="s">
        <v>96</v>
      </c>
    </row>
    <row r="13" spans="1:10" ht="36" x14ac:dyDescent="0.3">
      <c r="A13" s="6" t="s">
        <v>97</v>
      </c>
      <c r="B13" s="5" t="s">
        <v>98</v>
      </c>
      <c r="C13" s="5" t="s">
        <v>99</v>
      </c>
      <c r="D13" s="5" t="s">
        <v>100</v>
      </c>
      <c r="E13" s="5" t="s">
        <v>101</v>
      </c>
      <c r="F13" s="9" t="s">
        <v>53</v>
      </c>
      <c r="G13" s="11">
        <v>3</v>
      </c>
      <c r="H13" s="6">
        <v>4</v>
      </c>
      <c r="I13" s="6">
        <v>1</v>
      </c>
      <c r="J13" s="5" t="s">
        <v>102</v>
      </c>
    </row>
    <row r="14" spans="1:10" ht="36" x14ac:dyDescent="0.3">
      <c r="A14" s="6" t="s">
        <v>103</v>
      </c>
      <c r="B14" s="5" t="s">
        <v>104</v>
      </c>
      <c r="C14" s="5" t="s">
        <v>105</v>
      </c>
      <c r="D14" s="5" t="s">
        <v>106</v>
      </c>
      <c r="E14" s="5" t="s">
        <v>107</v>
      </c>
      <c r="F14" s="9" t="s">
        <v>53</v>
      </c>
      <c r="G14" s="12">
        <v>2</v>
      </c>
      <c r="H14" s="6">
        <v>4</v>
      </c>
      <c r="I14" s="6">
        <v>2</v>
      </c>
      <c r="J14" s="5" t="s">
        <v>108</v>
      </c>
    </row>
    <row r="15" spans="1:10" ht="36" x14ac:dyDescent="0.3">
      <c r="A15" s="6" t="s">
        <v>109</v>
      </c>
      <c r="B15" s="5" t="s">
        <v>110</v>
      </c>
      <c r="C15" s="5" t="s">
        <v>111</v>
      </c>
      <c r="D15" s="5" t="s">
        <v>112</v>
      </c>
      <c r="E15" s="5" t="s">
        <v>113</v>
      </c>
      <c r="F15" s="9" t="s">
        <v>53</v>
      </c>
      <c r="G15" s="11">
        <v>3</v>
      </c>
      <c r="H15" s="6">
        <v>4</v>
      </c>
      <c r="I15" s="6">
        <v>1</v>
      </c>
      <c r="J15" s="5" t="s">
        <v>114</v>
      </c>
    </row>
    <row r="16" spans="1:10" ht="36" x14ac:dyDescent="0.3">
      <c r="A16" s="6" t="s">
        <v>115</v>
      </c>
      <c r="B16" s="5" t="s">
        <v>116</v>
      </c>
      <c r="C16" s="5" t="s">
        <v>117</v>
      </c>
      <c r="D16" s="5" t="s">
        <v>118</v>
      </c>
      <c r="E16" s="5" t="s">
        <v>119</v>
      </c>
      <c r="F16" s="13" t="s">
        <v>120</v>
      </c>
      <c r="G16" s="14">
        <v>1</v>
      </c>
      <c r="H16" s="6">
        <v>3</v>
      </c>
      <c r="I16" s="6">
        <v>2</v>
      </c>
      <c r="J16" s="5" t="s">
        <v>121</v>
      </c>
    </row>
    <row r="17" spans="1:10" ht="36" x14ac:dyDescent="0.3">
      <c r="A17" s="6" t="s">
        <v>122</v>
      </c>
      <c r="B17" s="5" t="s">
        <v>123</v>
      </c>
      <c r="C17" s="5" t="s">
        <v>124</v>
      </c>
      <c r="D17" s="5" t="s">
        <v>125</v>
      </c>
      <c r="E17" s="5" t="s">
        <v>126</v>
      </c>
      <c r="F17" s="9" t="s">
        <v>53</v>
      </c>
      <c r="G17" s="11">
        <v>3</v>
      </c>
      <c r="H17" s="6">
        <v>4</v>
      </c>
      <c r="I17" s="6">
        <v>1</v>
      </c>
      <c r="J17" s="5" t="s">
        <v>127</v>
      </c>
    </row>
    <row r="18" spans="1:10" ht="36" x14ac:dyDescent="0.3">
      <c r="A18" s="6" t="s">
        <v>128</v>
      </c>
      <c r="B18" s="5" t="s">
        <v>129</v>
      </c>
      <c r="C18" s="5" t="s">
        <v>130</v>
      </c>
      <c r="D18" s="5" t="s">
        <v>131</v>
      </c>
      <c r="E18" s="5" t="s">
        <v>132</v>
      </c>
      <c r="F18" s="15" t="s">
        <v>133</v>
      </c>
      <c r="G18" s="12">
        <v>2</v>
      </c>
      <c r="H18" s="6">
        <v>4</v>
      </c>
      <c r="I18" s="6">
        <v>2</v>
      </c>
      <c r="J18" s="5" t="s">
        <v>134</v>
      </c>
    </row>
    <row r="19" spans="1:10" ht="36" x14ac:dyDescent="0.3">
      <c r="A19" s="6" t="s">
        <v>135</v>
      </c>
      <c r="B19" s="5" t="s">
        <v>136</v>
      </c>
      <c r="C19" s="5" t="s">
        <v>137</v>
      </c>
      <c r="D19" s="5" t="s">
        <v>138</v>
      </c>
      <c r="E19" s="5" t="s">
        <v>139</v>
      </c>
      <c r="F19" s="15" t="s">
        <v>133</v>
      </c>
      <c r="G19" s="12">
        <v>2</v>
      </c>
      <c r="H19" s="6">
        <v>3</v>
      </c>
      <c r="I19" s="6">
        <v>1</v>
      </c>
      <c r="J19" s="5" t="s">
        <v>140</v>
      </c>
    </row>
    <row r="21" spans="1:10" x14ac:dyDescent="0.3">
      <c r="A21" s="16" t="s">
        <v>141</v>
      </c>
    </row>
    <row r="22" spans="1:10" x14ac:dyDescent="0.3">
      <c r="B22" s="4" t="s">
        <v>142</v>
      </c>
      <c r="G22" s="6">
        <f>COUNTA(A5:A19)</f>
        <v>15</v>
      </c>
      <c r="J22" s="17" t="s">
        <v>143</v>
      </c>
    </row>
    <row r="23" spans="1:10" ht="22.8" x14ac:dyDescent="0.3">
      <c r="B23" s="4" t="s">
        <v>144</v>
      </c>
      <c r="G23" s="6">
        <f>ROUND(AVERAGE(G5:G19),1)</f>
        <v>2.6</v>
      </c>
      <c r="J23" s="17" t="s">
        <v>145</v>
      </c>
    </row>
    <row r="24" spans="1:10" x14ac:dyDescent="0.3">
      <c r="B24" s="4" t="s">
        <v>146</v>
      </c>
      <c r="G24" s="6">
        <f>ROUND(AVERAGE(H5:H19),1)</f>
        <v>3.9</v>
      </c>
      <c r="J24" s="17" t="s">
        <v>147</v>
      </c>
    </row>
    <row r="25" spans="1:10" x14ac:dyDescent="0.3">
      <c r="B25" s="4" t="s">
        <v>148</v>
      </c>
      <c r="G25" s="6">
        <f>ROUND(AVERAGE(I5:I19),1)</f>
        <v>1.3</v>
      </c>
      <c r="J25" s="17" t="s">
        <v>149</v>
      </c>
    </row>
    <row r="26" spans="1:10" ht="25.2" x14ac:dyDescent="0.3">
      <c r="B26" s="4" t="s">
        <v>150</v>
      </c>
      <c r="G26" s="6">
        <f>COUNTIF(G5:G19,"&gt;=3")</f>
        <v>9</v>
      </c>
      <c r="J26" s="17" t="s">
        <v>151</v>
      </c>
    </row>
    <row r="27" spans="1:10" ht="25.2" x14ac:dyDescent="0.3">
      <c r="B27" s="4" t="s">
        <v>152</v>
      </c>
      <c r="G27" s="6">
        <f>COUNTIF(G5:G19,"&lt;=2")</f>
        <v>6</v>
      </c>
      <c r="J27" s="17" t="s">
        <v>153</v>
      </c>
    </row>
    <row r="28" spans="1:10" ht="63" x14ac:dyDescent="0.3">
      <c r="B28" s="4" t="s">
        <v>154</v>
      </c>
      <c r="G28" s="11" t="s">
        <v>155</v>
      </c>
      <c r="J28" s="17" t="s">
        <v>156</v>
      </c>
    </row>
    <row r="29" spans="1:10" x14ac:dyDescent="0.3">
      <c r="B29" s="4" t="s">
        <v>157</v>
      </c>
      <c r="G29" s="6">
        <f>MAX(I5:I19)</f>
        <v>2</v>
      </c>
      <c r="J29" s="17" t="s">
        <v>158</v>
      </c>
    </row>
    <row r="31" spans="1:10" x14ac:dyDescent="0.3">
      <c r="A31" s="18" t="s">
        <v>159</v>
      </c>
    </row>
    <row r="32" spans="1:10" x14ac:dyDescent="0.3">
      <c r="A32" s="19" t="s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D20" sqref="D20"/>
    </sheetView>
  </sheetViews>
  <sheetFormatPr defaultRowHeight="14.4" x14ac:dyDescent="0.3"/>
  <cols>
    <col min="1" max="1" width="8" customWidth="1"/>
    <col min="2" max="2" width="32" customWidth="1"/>
    <col min="3" max="3" width="14" customWidth="1"/>
    <col min="4" max="4" width="56" customWidth="1"/>
    <col min="5" max="5" width="26" customWidth="1"/>
    <col min="6" max="6" width="14" customWidth="1"/>
    <col min="7" max="7" width="56" customWidth="1"/>
  </cols>
  <sheetData>
    <row r="1" spans="1:7" ht="17.399999999999999" x14ac:dyDescent="0.3">
      <c r="A1" s="1" t="s">
        <v>161</v>
      </c>
    </row>
    <row r="2" spans="1:7" x14ac:dyDescent="0.3">
      <c r="A2" s="2" t="s">
        <v>162</v>
      </c>
    </row>
    <row r="4" spans="1:7" x14ac:dyDescent="0.3">
      <c r="A4" s="3" t="s">
        <v>38</v>
      </c>
      <c r="B4" s="3" t="s">
        <v>39</v>
      </c>
      <c r="C4" s="3" t="s">
        <v>163</v>
      </c>
      <c r="D4" s="3" t="s">
        <v>164</v>
      </c>
      <c r="E4" s="3" t="s">
        <v>165</v>
      </c>
      <c r="F4" s="3" t="s">
        <v>166</v>
      </c>
      <c r="G4" s="3" t="s">
        <v>167</v>
      </c>
    </row>
    <row r="5" spans="1:7" ht="24" x14ac:dyDescent="0.3">
      <c r="A5" s="12" t="s">
        <v>115</v>
      </c>
      <c r="B5" s="5" t="s">
        <v>116</v>
      </c>
      <c r="C5" s="6" t="s">
        <v>168</v>
      </c>
      <c r="D5" s="5" t="s">
        <v>169</v>
      </c>
      <c r="E5" s="5" t="s">
        <v>170</v>
      </c>
      <c r="F5" s="7" t="s">
        <v>171</v>
      </c>
      <c r="G5" s="5" t="s">
        <v>172</v>
      </c>
    </row>
    <row r="6" spans="1:7" ht="36" x14ac:dyDescent="0.3">
      <c r="A6" s="12" t="s">
        <v>61</v>
      </c>
      <c r="B6" s="5" t="s">
        <v>62</v>
      </c>
      <c r="C6" s="6" t="s">
        <v>173</v>
      </c>
      <c r="D6" s="5" t="s">
        <v>174</v>
      </c>
      <c r="E6" s="5" t="s">
        <v>26</v>
      </c>
      <c r="F6" s="7" t="s">
        <v>175</v>
      </c>
      <c r="G6" s="5" t="s">
        <v>176</v>
      </c>
    </row>
    <row r="7" spans="1:7" ht="36" x14ac:dyDescent="0.3">
      <c r="A7" s="12" t="s">
        <v>85</v>
      </c>
      <c r="B7" s="5" t="s">
        <v>86</v>
      </c>
      <c r="C7" s="6" t="s">
        <v>173</v>
      </c>
      <c r="D7" s="5" t="s">
        <v>177</v>
      </c>
      <c r="E7" s="5" t="s">
        <v>178</v>
      </c>
      <c r="F7" s="7" t="s">
        <v>175</v>
      </c>
      <c r="G7" s="5" t="s">
        <v>179</v>
      </c>
    </row>
    <row r="8" spans="1:7" ht="36" x14ac:dyDescent="0.3">
      <c r="A8" s="12" t="s">
        <v>103</v>
      </c>
      <c r="B8" s="5" t="s">
        <v>104</v>
      </c>
      <c r="C8" s="6" t="s">
        <v>173</v>
      </c>
      <c r="D8" s="5" t="s">
        <v>180</v>
      </c>
      <c r="E8" s="5" t="s">
        <v>181</v>
      </c>
      <c r="F8" s="7" t="s">
        <v>175</v>
      </c>
      <c r="G8" s="5" t="s">
        <v>182</v>
      </c>
    </row>
    <row r="9" spans="1:7" ht="36" x14ac:dyDescent="0.3">
      <c r="A9" s="12" t="s">
        <v>128</v>
      </c>
      <c r="B9" s="5" t="s">
        <v>129</v>
      </c>
      <c r="C9" s="6" t="s">
        <v>173</v>
      </c>
      <c r="D9" s="5" t="s">
        <v>183</v>
      </c>
      <c r="E9" s="5" t="s">
        <v>184</v>
      </c>
      <c r="F9" s="7" t="s">
        <v>171</v>
      </c>
      <c r="G9" s="5" t="s">
        <v>185</v>
      </c>
    </row>
    <row r="10" spans="1:7" ht="36" x14ac:dyDescent="0.3">
      <c r="A10" s="11" t="s">
        <v>135</v>
      </c>
      <c r="B10" s="5" t="s">
        <v>136</v>
      </c>
      <c r="C10" s="6" t="s">
        <v>186</v>
      </c>
      <c r="D10" s="5" t="s">
        <v>187</v>
      </c>
      <c r="E10" s="5" t="s">
        <v>26</v>
      </c>
      <c r="F10" s="7" t="s">
        <v>175</v>
      </c>
      <c r="G10" s="5" t="s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topLeftCell="A10" workbookViewId="0">
      <selection activeCell="B1" sqref="B1"/>
    </sheetView>
  </sheetViews>
  <sheetFormatPr defaultRowHeight="14.4" x14ac:dyDescent="0.3"/>
  <cols>
    <col min="1" max="1" width="21.109375" customWidth="1"/>
    <col min="2" max="2" width="45.5546875" customWidth="1"/>
    <col min="3" max="3" width="43.88671875" customWidth="1"/>
    <col min="4" max="4" width="34" customWidth="1"/>
    <col min="5" max="5" width="36" customWidth="1"/>
    <col min="6" max="6" width="38" customWidth="1"/>
    <col min="7" max="7" width="14" customWidth="1"/>
    <col min="8" max="8" width="24" customWidth="1"/>
    <col min="9" max="9" width="14" customWidth="1"/>
    <col min="10" max="10" width="38" customWidth="1"/>
  </cols>
  <sheetData>
    <row r="1" spans="1:10" ht="17.399999999999999" x14ac:dyDescent="0.3">
      <c r="A1" s="1" t="s">
        <v>189</v>
      </c>
    </row>
    <row r="2" spans="1:10" x14ac:dyDescent="0.3">
      <c r="A2" s="2" t="s">
        <v>190</v>
      </c>
    </row>
    <row r="4" spans="1:10" x14ac:dyDescent="0.3">
      <c r="A4" s="20" t="s">
        <v>191</v>
      </c>
      <c r="B4" s="20" t="s">
        <v>192</v>
      </c>
      <c r="C4" s="20" t="s">
        <v>193</v>
      </c>
    </row>
    <row r="5" spans="1:10" x14ac:dyDescent="0.3">
      <c r="A5" s="21" t="s">
        <v>194</v>
      </c>
      <c r="B5" s="22" t="s">
        <v>195</v>
      </c>
      <c r="C5" s="7" t="s">
        <v>196</v>
      </c>
    </row>
    <row r="6" spans="1:10" ht="24" x14ac:dyDescent="0.3">
      <c r="A6" s="21" t="s">
        <v>197</v>
      </c>
      <c r="B6" s="22" t="s">
        <v>198</v>
      </c>
      <c r="C6" s="7" t="s">
        <v>199</v>
      </c>
    </row>
    <row r="7" spans="1:10" x14ac:dyDescent="0.3">
      <c r="A7" s="21" t="s">
        <v>200</v>
      </c>
      <c r="B7" s="22" t="s">
        <v>201</v>
      </c>
      <c r="C7" s="7" t="s">
        <v>202</v>
      </c>
    </row>
    <row r="8" spans="1:10" x14ac:dyDescent="0.3">
      <c r="A8" s="21" t="s">
        <v>203</v>
      </c>
      <c r="B8" s="22" t="s">
        <v>204</v>
      </c>
      <c r="C8" s="7" t="s">
        <v>205</v>
      </c>
    </row>
    <row r="9" spans="1:10" x14ac:dyDescent="0.3">
      <c r="A9" s="21" t="s">
        <v>206</v>
      </c>
      <c r="B9" s="22" t="s">
        <v>207</v>
      </c>
      <c r="C9" s="7" t="s">
        <v>208</v>
      </c>
    </row>
    <row r="10" spans="1:10" x14ac:dyDescent="0.3">
      <c r="A10" s="21" t="s">
        <v>209</v>
      </c>
      <c r="B10" s="22" t="s">
        <v>210</v>
      </c>
      <c r="C10" s="7" t="s">
        <v>211</v>
      </c>
    </row>
    <row r="11" spans="1:10" x14ac:dyDescent="0.3">
      <c r="A11" s="21" t="s">
        <v>212</v>
      </c>
      <c r="B11" s="22" t="s">
        <v>213</v>
      </c>
      <c r="C11" s="7" t="s">
        <v>214</v>
      </c>
    </row>
    <row r="14" spans="1:10" x14ac:dyDescent="0.3">
      <c r="A14" s="16" t="s">
        <v>215</v>
      </c>
    </row>
    <row r="15" spans="1:10" x14ac:dyDescent="0.3">
      <c r="A15" s="3" t="s">
        <v>216</v>
      </c>
      <c r="B15" s="3" t="s">
        <v>217</v>
      </c>
      <c r="C15" s="3" t="s">
        <v>218</v>
      </c>
      <c r="D15" s="3" t="s">
        <v>219</v>
      </c>
      <c r="E15" s="3" t="s">
        <v>220</v>
      </c>
      <c r="F15" s="3" t="s">
        <v>221</v>
      </c>
      <c r="G15" s="3" t="s">
        <v>43</v>
      </c>
      <c r="H15" s="3" t="s">
        <v>222</v>
      </c>
      <c r="I15" s="3" t="s">
        <v>166</v>
      </c>
      <c r="J15" s="3" t="s">
        <v>223</v>
      </c>
    </row>
    <row r="16" spans="1:10" ht="48" x14ac:dyDescent="0.3">
      <c r="A16" s="6" t="s">
        <v>224</v>
      </c>
      <c r="B16" s="5" t="s">
        <v>225</v>
      </c>
      <c r="C16" s="5" t="s">
        <v>226</v>
      </c>
      <c r="D16" s="5" t="s">
        <v>227</v>
      </c>
      <c r="E16" s="5" t="s">
        <v>228</v>
      </c>
      <c r="F16" s="5" t="s">
        <v>229</v>
      </c>
      <c r="G16" s="14" t="s">
        <v>120</v>
      </c>
      <c r="H16" s="5" t="s">
        <v>170</v>
      </c>
      <c r="I16" s="7" t="s">
        <v>171</v>
      </c>
      <c r="J16" s="5" t="s">
        <v>230</v>
      </c>
    </row>
    <row r="17" spans="1:10" ht="48" x14ac:dyDescent="0.3">
      <c r="A17" s="6" t="s">
        <v>231</v>
      </c>
      <c r="B17" s="5" t="s">
        <v>232</v>
      </c>
      <c r="C17" s="5" t="s">
        <v>233</v>
      </c>
      <c r="D17" s="5" t="s">
        <v>234</v>
      </c>
      <c r="E17" s="5" t="s">
        <v>235</v>
      </c>
      <c r="F17" s="5" t="s">
        <v>236</v>
      </c>
      <c r="G17" s="12" t="s">
        <v>53</v>
      </c>
      <c r="H17" s="5" t="s">
        <v>26</v>
      </c>
      <c r="I17" s="7" t="s">
        <v>175</v>
      </c>
      <c r="J17" s="5" t="s">
        <v>237</v>
      </c>
    </row>
    <row r="18" spans="1:10" ht="48" x14ac:dyDescent="0.3">
      <c r="A18" s="6" t="s">
        <v>238</v>
      </c>
      <c r="B18" s="5" t="s">
        <v>239</v>
      </c>
      <c r="C18" s="5" t="s">
        <v>240</v>
      </c>
      <c r="D18" s="5" t="s">
        <v>241</v>
      </c>
      <c r="E18" s="5" t="s">
        <v>242</v>
      </c>
      <c r="F18" s="5" t="s">
        <v>243</v>
      </c>
      <c r="G18" s="12" t="s">
        <v>53</v>
      </c>
      <c r="H18" s="5" t="s">
        <v>26</v>
      </c>
      <c r="I18" s="7" t="s">
        <v>175</v>
      </c>
      <c r="J18" s="5" t="s">
        <v>244</v>
      </c>
    </row>
    <row r="19" spans="1:10" ht="48" x14ac:dyDescent="0.3">
      <c r="A19" s="6" t="s">
        <v>245</v>
      </c>
      <c r="B19" s="5" t="s">
        <v>246</v>
      </c>
      <c r="C19" s="5" t="s">
        <v>247</v>
      </c>
      <c r="D19" s="5" t="s">
        <v>248</v>
      </c>
      <c r="E19" s="5" t="s">
        <v>249</v>
      </c>
      <c r="F19" s="5" t="s">
        <v>250</v>
      </c>
      <c r="G19" s="12" t="s">
        <v>53</v>
      </c>
      <c r="H19" s="5" t="s">
        <v>181</v>
      </c>
      <c r="I19" s="7" t="s">
        <v>175</v>
      </c>
      <c r="J19" s="5" t="s">
        <v>251</v>
      </c>
    </row>
    <row r="20" spans="1:10" ht="48" x14ac:dyDescent="0.3">
      <c r="A20" s="6" t="s">
        <v>252</v>
      </c>
      <c r="B20" s="5" t="s">
        <v>253</v>
      </c>
      <c r="C20" s="5" t="s">
        <v>254</v>
      </c>
      <c r="D20" s="5" t="s">
        <v>255</v>
      </c>
      <c r="E20" s="5" t="s">
        <v>256</v>
      </c>
      <c r="F20" s="5" t="s">
        <v>257</v>
      </c>
      <c r="G20" s="11" t="s">
        <v>133</v>
      </c>
      <c r="H20" s="5" t="s">
        <v>258</v>
      </c>
      <c r="I20" s="7" t="s">
        <v>175</v>
      </c>
      <c r="J20" s="5" t="s">
        <v>259</v>
      </c>
    </row>
    <row r="21" spans="1:10" ht="48" x14ac:dyDescent="0.3">
      <c r="A21" s="6" t="s">
        <v>260</v>
      </c>
      <c r="B21" s="5" t="s">
        <v>261</v>
      </c>
      <c r="C21" s="5" t="s">
        <v>262</v>
      </c>
      <c r="D21" s="5" t="s">
        <v>263</v>
      </c>
      <c r="E21" s="5" t="s">
        <v>264</v>
      </c>
      <c r="F21" s="5" t="s">
        <v>265</v>
      </c>
      <c r="G21" s="11" t="s">
        <v>133</v>
      </c>
      <c r="H21" s="5" t="s">
        <v>266</v>
      </c>
      <c r="I21" s="7" t="s">
        <v>171</v>
      </c>
      <c r="J21" s="5" t="s">
        <v>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workbookViewId="0">
      <selection activeCell="A5" sqref="A5"/>
    </sheetView>
  </sheetViews>
  <sheetFormatPr defaultRowHeight="14.4" x14ac:dyDescent="0.3"/>
  <cols>
    <col min="1" max="1" width="15.6640625" customWidth="1"/>
    <col min="2" max="2" width="24" customWidth="1"/>
    <col min="3" max="3" width="44" customWidth="1"/>
    <col min="4" max="4" width="18" customWidth="1"/>
    <col min="5" max="8" width="16" customWidth="1"/>
    <col min="9" max="9" width="18" customWidth="1"/>
    <col min="10" max="10" width="22" customWidth="1"/>
  </cols>
  <sheetData>
    <row r="1" spans="1:10" ht="17.399999999999999" x14ac:dyDescent="0.3">
      <c r="A1" s="1" t="s">
        <v>268</v>
      </c>
    </row>
    <row r="2" spans="1:10" x14ac:dyDescent="0.3">
      <c r="A2" s="2" t="s">
        <v>269</v>
      </c>
    </row>
    <row r="4" spans="1:10" x14ac:dyDescent="0.3">
      <c r="A4" s="16" t="s">
        <v>270</v>
      </c>
    </row>
    <row r="5" spans="1:10" ht="39.6" x14ac:dyDescent="0.3">
      <c r="A5" s="3" t="s">
        <v>271</v>
      </c>
      <c r="B5" s="3" t="s">
        <v>272</v>
      </c>
      <c r="C5" s="3" t="s">
        <v>273</v>
      </c>
      <c r="D5" s="3" t="s">
        <v>274</v>
      </c>
      <c r="E5" s="3" t="s">
        <v>275</v>
      </c>
      <c r="F5" s="3" t="s">
        <v>276</v>
      </c>
    </row>
    <row r="6" spans="1:10" ht="25.2" x14ac:dyDescent="0.3">
      <c r="A6" s="4" t="s">
        <v>277</v>
      </c>
      <c r="B6" s="15" t="s">
        <v>133</v>
      </c>
      <c r="C6" s="9" t="s">
        <v>53</v>
      </c>
      <c r="D6" s="12" t="s">
        <v>278</v>
      </c>
      <c r="E6" s="14" t="s">
        <v>279</v>
      </c>
      <c r="F6" s="13" t="s">
        <v>120</v>
      </c>
    </row>
    <row r="7" spans="1:10" ht="25.2" x14ac:dyDescent="0.3">
      <c r="A7" s="4" t="s">
        <v>280</v>
      </c>
      <c r="B7" s="15" t="s">
        <v>133</v>
      </c>
      <c r="C7" s="15" t="s">
        <v>133</v>
      </c>
      <c r="D7" s="12" t="s">
        <v>281</v>
      </c>
      <c r="E7" s="12" t="s">
        <v>282</v>
      </c>
      <c r="F7" s="13" t="s">
        <v>120</v>
      </c>
    </row>
    <row r="8" spans="1:10" ht="25.2" x14ac:dyDescent="0.3">
      <c r="A8" s="4" t="s">
        <v>283</v>
      </c>
      <c r="B8" s="8" t="s">
        <v>284</v>
      </c>
      <c r="C8" s="15" t="s">
        <v>133</v>
      </c>
      <c r="D8" s="11" t="s">
        <v>285</v>
      </c>
      <c r="E8" s="9" t="s">
        <v>53</v>
      </c>
      <c r="F8" s="9" t="s">
        <v>53</v>
      </c>
    </row>
    <row r="9" spans="1:10" ht="25.2" x14ac:dyDescent="0.3">
      <c r="A9" s="4" t="s">
        <v>286</v>
      </c>
      <c r="B9" s="8" t="s">
        <v>284</v>
      </c>
      <c r="C9" s="8" t="s">
        <v>284</v>
      </c>
      <c r="D9" s="11" t="s">
        <v>287</v>
      </c>
      <c r="E9" s="15" t="s">
        <v>133</v>
      </c>
      <c r="F9" s="9" t="s">
        <v>53</v>
      </c>
    </row>
    <row r="10" spans="1:10" ht="25.2" x14ac:dyDescent="0.3">
      <c r="A10" s="4" t="s">
        <v>288</v>
      </c>
      <c r="B10" s="8" t="s">
        <v>284</v>
      </c>
      <c r="C10" s="8" t="s">
        <v>284</v>
      </c>
      <c r="D10" s="8" t="s">
        <v>284</v>
      </c>
      <c r="E10" s="15" t="s">
        <v>133</v>
      </c>
      <c r="F10" s="15" t="s">
        <v>133</v>
      </c>
    </row>
    <row r="13" spans="1:10" x14ac:dyDescent="0.3">
      <c r="A13" s="16" t="s">
        <v>289</v>
      </c>
    </row>
    <row r="14" spans="1:10" ht="39.6" x14ac:dyDescent="0.3">
      <c r="A14" s="3" t="s">
        <v>216</v>
      </c>
      <c r="B14" s="3" t="s">
        <v>217</v>
      </c>
      <c r="C14" s="3" t="s">
        <v>290</v>
      </c>
      <c r="D14" s="3" t="s">
        <v>291</v>
      </c>
      <c r="E14" s="3" t="s">
        <v>292</v>
      </c>
      <c r="F14" s="3" t="s">
        <v>293</v>
      </c>
      <c r="G14" s="3" t="s">
        <v>294</v>
      </c>
      <c r="H14" s="3" t="s">
        <v>295</v>
      </c>
      <c r="I14" s="3" t="s">
        <v>296</v>
      </c>
      <c r="J14" s="3" t="s">
        <v>297</v>
      </c>
    </row>
    <row r="15" spans="1:10" ht="24" x14ac:dyDescent="0.3">
      <c r="A15" s="6" t="s">
        <v>224</v>
      </c>
      <c r="B15" s="5" t="s">
        <v>225</v>
      </c>
      <c r="C15" s="5" t="s">
        <v>298</v>
      </c>
      <c r="D15" s="7">
        <v>5</v>
      </c>
      <c r="E15" s="7">
        <v>4</v>
      </c>
      <c r="F15" s="7">
        <v>5</v>
      </c>
      <c r="G15" s="7">
        <v>4</v>
      </c>
      <c r="H15" s="6">
        <f t="shared" ref="H15:H20" si="0">ROUND(D15*0.35+E15*0.25+F15*0.2+G15*0.2,2)</f>
        <v>4.55</v>
      </c>
      <c r="I15" s="14" t="s">
        <v>299</v>
      </c>
      <c r="J15" s="7" t="s">
        <v>300</v>
      </c>
    </row>
    <row r="16" spans="1:10" ht="24" x14ac:dyDescent="0.3">
      <c r="A16" s="6" t="s">
        <v>231</v>
      </c>
      <c r="B16" s="5" t="s">
        <v>232</v>
      </c>
      <c r="C16" s="5" t="s">
        <v>301</v>
      </c>
      <c r="D16" s="7">
        <v>4</v>
      </c>
      <c r="E16" s="7">
        <v>3</v>
      </c>
      <c r="F16" s="7">
        <v>4</v>
      </c>
      <c r="G16" s="7">
        <v>5</v>
      </c>
      <c r="H16" s="6">
        <f t="shared" si="0"/>
        <v>3.95</v>
      </c>
      <c r="I16" s="12" t="s">
        <v>302</v>
      </c>
      <c r="J16" s="7" t="s">
        <v>303</v>
      </c>
    </row>
    <row r="17" spans="1:10" ht="24" x14ac:dyDescent="0.3">
      <c r="A17" s="6" t="s">
        <v>238</v>
      </c>
      <c r="B17" s="5" t="s">
        <v>304</v>
      </c>
      <c r="C17" s="5" t="s">
        <v>305</v>
      </c>
      <c r="D17" s="7">
        <v>4</v>
      </c>
      <c r="E17" s="7">
        <v>3</v>
      </c>
      <c r="F17" s="7">
        <v>4</v>
      </c>
      <c r="G17" s="7">
        <v>4</v>
      </c>
      <c r="H17" s="6">
        <f t="shared" si="0"/>
        <v>3.75</v>
      </c>
      <c r="I17" s="12" t="s">
        <v>306</v>
      </c>
      <c r="J17" s="7" t="s">
        <v>303</v>
      </c>
    </row>
    <row r="18" spans="1:10" ht="24" x14ac:dyDescent="0.3">
      <c r="A18" s="6" t="s">
        <v>245</v>
      </c>
      <c r="B18" s="5" t="s">
        <v>246</v>
      </c>
      <c r="C18" s="5" t="s">
        <v>307</v>
      </c>
      <c r="D18" s="7">
        <v>4</v>
      </c>
      <c r="E18" s="7">
        <v>5</v>
      </c>
      <c r="F18" s="7">
        <v>3</v>
      </c>
      <c r="G18" s="7">
        <v>3</v>
      </c>
      <c r="H18" s="6">
        <f t="shared" si="0"/>
        <v>3.85</v>
      </c>
      <c r="I18" s="12" t="s">
        <v>308</v>
      </c>
      <c r="J18" s="7" t="s">
        <v>303</v>
      </c>
    </row>
    <row r="19" spans="1:10" ht="24" x14ac:dyDescent="0.3">
      <c r="A19" s="6" t="s">
        <v>252</v>
      </c>
      <c r="B19" s="5" t="s">
        <v>253</v>
      </c>
      <c r="C19" s="5" t="s">
        <v>309</v>
      </c>
      <c r="D19" s="7">
        <v>3</v>
      </c>
      <c r="E19" s="7">
        <v>2</v>
      </c>
      <c r="F19" s="7">
        <v>4</v>
      </c>
      <c r="G19" s="7">
        <v>3</v>
      </c>
      <c r="H19" s="6">
        <f t="shared" si="0"/>
        <v>2.95</v>
      </c>
      <c r="I19" s="11" t="s">
        <v>310</v>
      </c>
      <c r="J19" s="7" t="s">
        <v>303</v>
      </c>
    </row>
    <row r="20" spans="1:10" ht="24" x14ac:dyDescent="0.3">
      <c r="A20" s="6" t="s">
        <v>260</v>
      </c>
      <c r="B20" s="5" t="s">
        <v>261</v>
      </c>
      <c r="C20" s="5" t="s">
        <v>311</v>
      </c>
      <c r="D20" s="7">
        <v>3</v>
      </c>
      <c r="E20" s="7">
        <v>2</v>
      </c>
      <c r="F20" s="7">
        <v>2</v>
      </c>
      <c r="G20" s="7">
        <v>3</v>
      </c>
      <c r="H20" s="6">
        <f t="shared" si="0"/>
        <v>2.5499999999999998</v>
      </c>
      <c r="I20" s="11" t="s">
        <v>312</v>
      </c>
      <c r="J20" s="7" t="s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"/>
  <sheetViews>
    <sheetView workbookViewId="0"/>
  </sheetViews>
  <sheetFormatPr defaultRowHeight="14.4" x14ac:dyDescent="0.3"/>
  <cols>
    <col min="1" max="1" width="18" customWidth="1"/>
    <col min="2" max="2" width="8" customWidth="1"/>
    <col min="3" max="3" width="26" customWidth="1"/>
    <col min="4" max="4" width="32" customWidth="1"/>
    <col min="5" max="5" width="38" customWidth="1"/>
    <col min="6" max="7" width="32" customWidth="1"/>
    <col min="8" max="8" width="22" customWidth="1"/>
    <col min="9" max="11" width="14" customWidth="1"/>
    <col min="12" max="12" width="16" customWidth="1"/>
  </cols>
  <sheetData>
    <row r="1" spans="1:12" ht="17.399999999999999" x14ac:dyDescent="0.3">
      <c r="A1" s="1" t="s">
        <v>313</v>
      </c>
    </row>
    <row r="2" spans="1:12" x14ac:dyDescent="0.3">
      <c r="A2" s="2" t="s">
        <v>314</v>
      </c>
    </row>
    <row r="4" spans="1:12" ht="26.4" x14ac:dyDescent="0.3">
      <c r="A4" s="3" t="s">
        <v>315</v>
      </c>
      <c r="B4" s="3" t="s">
        <v>38</v>
      </c>
      <c r="C4" s="3" t="s">
        <v>39</v>
      </c>
      <c r="D4" s="3" t="s">
        <v>316</v>
      </c>
      <c r="E4" s="3" t="s">
        <v>317</v>
      </c>
      <c r="F4" s="3" t="s">
        <v>318</v>
      </c>
      <c r="G4" s="3" t="s">
        <v>319</v>
      </c>
      <c r="H4" s="3" t="s">
        <v>165</v>
      </c>
      <c r="I4" s="3" t="s">
        <v>166</v>
      </c>
      <c r="J4" s="3" t="s">
        <v>320</v>
      </c>
      <c r="K4" s="3" t="s">
        <v>43</v>
      </c>
      <c r="L4" s="3" t="s">
        <v>22</v>
      </c>
    </row>
    <row r="5" spans="1:12" ht="36" x14ac:dyDescent="0.3">
      <c r="A5" s="6" t="s">
        <v>321</v>
      </c>
      <c r="B5" s="6" t="s">
        <v>85</v>
      </c>
      <c r="C5" s="5" t="s">
        <v>86</v>
      </c>
      <c r="D5" s="5" t="s">
        <v>322</v>
      </c>
      <c r="E5" s="5" t="s">
        <v>323</v>
      </c>
      <c r="F5" s="5" t="s">
        <v>324</v>
      </c>
      <c r="G5" s="5" t="s">
        <v>325</v>
      </c>
      <c r="H5" s="5" t="s">
        <v>26</v>
      </c>
      <c r="I5" s="7" t="s">
        <v>175</v>
      </c>
      <c r="J5" s="7" t="s">
        <v>133</v>
      </c>
      <c r="K5" s="12" t="s">
        <v>53</v>
      </c>
      <c r="L5" s="8" t="s">
        <v>326</v>
      </c>
    </row>
    <row r="6" spans="1:12" ht="36" x14ac:dyDescent="0.3">
      <c r="A6" s="6" t="s">
        <v>321</v>
      </c>
      <c r="B6" s="6" t="s">
        <v>61</v>
      </c>
      <c r="C6" s="5" t="s">
        <v>62</v>
      </c>
      <c r="D6" s="5" t="s">
        <v>327</v>
      </c>
      <c r="E6" s="5" t="s">
        <v>328</v>
      </c>
      <c r="F6" s="5" t="s">
        <v>329</v>
      </c>
      <c r="G6" s="5" t="s">
        <v>330</v>
      </c>
      <c r="H6" s="5" t="s">
        <v>26</v>
      </c>
      <c r="I6" s="7" t="s">
        <v>175</v>
      </c>
      <c r="J6" s="7" t="s">
        <v>133</v>
      </c>
      <c r="K6" s="12" t="s">
        <v>53</v>
      </c>
      <c r="L6" s="8" t="s">
        <v>326</v>
      </c>
    </row>
    <row r="7" spans="1:12" ht="36" x14ac:dyDescent="0.3">
      <c r="A7" s="6" t="s">
        <v>321</v>
      </c>
      <c r="B7" s="6" t="s">
        <v>103</v>
      </c>
      <c r="C7" s="5" t="s">
        <v>104</v>
      </c>
      <c r="D7" s="5" t="s">
        <v>331</v>
      </c>
      <c r="E7" s="5" t="s">
        <v>332</v>
      </c>
      <c r="F7" s="5" t="s">
        <v>333</v>
      </c>
      <c r="G7" s="5" t="s">
        <v>334</v>
      </c>
      <c r="H7" s="5" t="s">
        <v>181</v>
      </c>
      <c r="I7" s="7" t="s">
        <v>175</v>
      </c>
      <c r="J7" s="7" t="s">
        <v>133</v>
      </c>
      <c r="K7" s="12" t="s">
        <v>53</v>
      </c>
      <c r="L7" s="15" t="s">
        <v>335</v>
      </c>
    </row>
    <row r="8" spans="1:12" ht="36" x14ac:dyDescent="0.3">
      <c r="A8" s="6" t="s">
        <v>321</v>
      </c>
      <c r="B8" s="6" t="s">
        <v>135</v>
      </c>
      <c r="C8" s="5" t="s">
        <v>136</v>
      </c>
      <c r="D8" s="5" t="s">
        <v>336</v>
      </c>
      <c r="E8" s="5" t="s">
        <v>337</v>
      </c>
      <c r="F8" s="5" t="s">
        <v>338</v>
      </c>
      <c r="G8" s="5" t="s">
        <v>339</v>
      </c>
      <c r="H8" s="5" t="s">
        <v>258</v>
      </c>
      <c r="I8" s="7" t="s">
        <v>175</v>
      </c>
      <c r="J8" s="7" t="s">
        <v>284</v>
      </c>
      <c r="K8" s="11" t="s">
        <v>133</v>
      </c>
      <c r="L8" s="15" t="s">
        <v>335</v>
      </c>
    </row>
    <row r="9" spans="1:12" ht="36" x14ac:dyDescent="0.3">
      <c r="A9" s="6" t="s">
        <v>340</v>
      </c>
      <c r="B9" s="6" t="s">
        <v>115</v>
      </c>
      <c r="C9" s="5" t="s">
        <v>116</v>
      </c>
      <c r="D9" s="5" t="s">
        <v>341</v>
      </c>
      <c r="E9" s="5" t="s">
        <v>342</v>
      </c>
      <c r="F9" s="5" t="s">
        <v>343</v>
      </c>
      <c r="G9" s="5" t="s">
        <v>344</v>
      </c>
      <c r="H9" s="5" t="s">
        <v>170</v>
      </c>
      <c r="I9" s="7" t="s">
        <v>171</v>
      </c>
      <c r="J9" s="7" t="s">
        <v>53</v>
      </c>
      <c r="K9" s="14" t="s">
        <v>120</v>
      </c>
      <c r="L9" s="23" t="s">
        <v>345</v>
      </c>
    </row>
    <row r="10" spans="1:12" ht="36" x14ac:dyDescent="0.3">
      <c r="A10" s="6" t="s">
        <v>340</v>
      </c>
      <c r="B10" s="6" t="s">
        <v>128</v>
      </c>
      <c r="C10" s="5" t="s">
        <v>129</v>
      </c>
      <c r="D10" s="5" t="s">
        <v>346</v>
      </c>
      <c r="E10" s="5" t="s">
        <v>347</v>
      </c>
      <c r="F10" s="5" t="s">
        <v>348</v>
      </c>
      <c r="G10" s="5" t="s">
        <v>349</v>
      </c>
      <c r="H10" s="5" t="s">
        <v>266</v>
      </c>
      <c r="I10" s="7" t="s">
        <v>171</v>
      </c>
      <c r="J10" s="7" t="s">
        <v>133</v>
      </c>
      <c r="K10" s="11" t="s">
        <v>133</v>
      </c>
      <c r="L10" s="23" t="s">
        <v>345</v>
      </c>
    </row>
    <row r="11" spans="1:12" ht="36" x14ac:dyDescent="0.3">
      <c r="A11" s="6" t="s">
        <v>350</v>
      </c>
      <c r="B11" s="6" t="s">
        <v>79</v>
      </c>
      <c r="C11" s="5" t="s">
        <v>80</v>
      </c>
      <c r="D11" s="5" t="s">
        <v>351</v>
      </c>
      <c r="E11" s="5" t="s">
        <v>352</v>
      </c>
      <c r="F11" s="5" t="s">
        <v>353</v>
      </c>
      <c r="G11" s="5" t="s">
        <v>354</v>
      </c>
      <c r="H11" s="5" t="s">
        <v>355</v>
      </c>
      <c r="I11" s="7" t="s">
        <v>356</v>
      </c>
      <c r="J11" s="7" t="s">
        <v>53</v>
      </c>
      <c r="K11" s="12" t="s">
        <v>53</v>
      </c>
      <c r="L11" s="23" t="s">
        <v>345</v>
      </c>
    </row>
    <row r="12" spans="1:12" ht="36" x14ac:dyDescent="0.3">
      <c r="A12" s="6" t="s">
        <v>357</v>
      </c>
      <c r="B12" s="6" t="s">
        <v>358</v>
      </c>
      <c r="C12" s="5" t="s">
        <v>359</v>
      </c>
      <c r="D12" s="5" t="s">
        <v>360</v>
      </c>
      <c r="E12" s="5" t="s">
        <v>361</v>
      </c>
      <c r="F12" s="5" t="s">
        <v>362</v>
      </c>
      <c r="G12" s="5" t="s">
        <v>363</v>
      </c>
      <c r="H12" s="5" t="s">
        <v>34</v>
      </c>
      <c r="I12" s="7" t="s">
        <v>364</v>
      </c>
      <c r="J12" s="7" t="s">
        <v>53</v>
      </c>
      <c r="K12" s="12" t="s">
        <v>53</v>
      </c>
      <c r="L12" s="7" t="s">
        <v>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/>
  </sheetViews>
  <sheetFormatPr defaultRowHeight="14.4" x14ac:dyDescent="0.3"/>
  <cols>
    <col min="1" max="1" width="26" customWidth="1"/>
    <col min="2" max="2" width="18" customWidth="1"/>
    <col min="3" max="3" width="88" customWidth="1"/>
  </cols>
  <sheetData>
    <row r="1" spans="1:3" ht="17.399999999999999" x14ac:dyDescent="0.3">
      <c r="A1" s="1" t="s">
        <v>366</v>
      </c>
    </row>
    <row r="2" spans="1:3" x14ac:dyDescent="0.3">
      <c r="A2" s="2" t="s">
        <v>367</v>
      </c>
    </row>
    <row r="4" spans="1:3" x14ac:dyDescent="0.3">
      <c r="A4" s="3" t="s">
        <v>368</v>
      </c>
      <c r="B4" s="3" t="s">
        <v>369</v>
      </c>
      <c r="C4" s="3" t="s">
        <v>370</v>
      </c>
    </row>
    <row r="5" spans="1:3" ht="24" x14ac:dyDescent="0.3">
      <c r="A5" s="24" t="s">
        <v>371</v>
      </c>
      <c r="B5" s="11" t="s">
        <v>372</v>
      </c>
      <c r="C5" s="5" t="s">
        <v>373</v>
      </c>
    </row>
    <row r="6" spans="1:3" ht="24" x14ac:dyDescent="0.3">
      <c r="A6" s="24" t="s">
        <v>374</v>
      </c>
      <c r="B6" s="10" t="s">
        <v>375</v>
      </c>
      <c r="C6" s="5" t="s">
        <v>376</v>
      </c>
    </row>
    <row r="7" spans="1:3" ht="25.2" x14ac:dyDescent="0.3">
      <c r="A7" s="24" t="s">
        <v>377</v>
      </c>
      <c r="B7" s="12" t="s">
        <v>378</v>
      </c>
      <c r="C7" s="5" t="s">
        <v>379</v>
      </c>
    </row>
    <row r="8" spans="1:3" ht="25.2" x14ac:dyDescent="0.3">
      <c r="A8" s="24" t="s">
        <v>380</v>
      </c>
      <c r="B8" s="12" t="s">
        <v>378</v>
      </c>
      <c r="C8" s="5" t="s">
        <v>381</v>
      </c>
    </row>
    <row r="9" spans="1:3" ht="25.2" x14ac:dyDescent="0.3">
      <c r="A9" s="24" t="s">
        <v>382</v>
      </c>
      <c r="B9" s="12" t="s">
        <v>378</v>
      </c>
      <c r="C9" s="5" t="s">
        <v>383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"/>
  <sheetViews>
    <sheetView workbookViewId="0"/>
  </sheetViews>
  <sheetFormatPr defaultRowHeight="14.4" x14ac:dyDescent="0.3"/>
  <cols>
    <col min="1" max="1" width="36" customWidth="1"/>
    <col min="2" max="2" width="44" customWidth="1"/>
    <col min="3" max="3" width="60" customWidth="1"/>
  </cols>
  <sheetData>
    <row r="1" spans="1:3" ht="17.399999999999999" x14ac:dyDescent="0.3">
      <c r="A1" s="1" t="s">
        <v>384</v>
      </c>
    </row>
    <row r="2" spans="1:3" x14ac:dyDescent="0.3">
      <c r="A2" s="2" t="s">
        <v>385</v>
      </c>
    </row>
    <row r="4" spans="1:3" ht="26.4" x14ac:dyDescent="0.3">
      <c r="A4" s="3" t="s">
        <v>386</v>
      </c>
      <c r="B4" s="3" t="s">
        <v>387</v>
      </c>
      <c r="C4" s="3" t="s">
        <v>388</v>
      </c>
    </row>
    <row r="5" spans="1:3" ht="36" x14ac:dyDescent="0.3">
      <c r="A5" s="24" t="s">
        <v>389</v>
      </c>
      <c r="B5" s="5" t="s">
        <v>390</v>
      </c>
      <c r="C5" s="5" t="s">
        <v>391</v>
      </c>
    </row>
    <row r="6" spans="1:3" ht="36" x14ac:dyDescent="0.3">
      <c r="A6" s="24" t="s">
        <v>392</v>
      </c>
      <c r="B6" s="5" t="s">
        <v>393</v>
      </c>
      <c r="C6" s="5" t="s">
        <v>394</v>
      </c>
    </row>
    <row r="7" spans="1:3" ht="25.2" x14ac:dyDescent="0.3">
      <c r="A7" s="24" t="s">
        <v>395</v>
      </c>
      <c r="B7" s="5" t="s">
        <v>396</v>
      </c>
      <c r="C7" s="5" t="s">
        <v>397</v>
      </c>
    </row>
    <row r="8" spans="1:3" ht="36" x14ac:dyDescent="0.3">
      <c r="A8" s="24" t="s">
        <v>398</v>
      </c>
      <c r="B8" s="5" t="s">
        <v>399</v>
      </c>
      <c r="C8" s="5" t="s">
        <v>400</v>
      </c>
    </row>
    <row r="9" spans="1:3" ht="36" x14ac:dyDescent="0.3">
      <c r="A9" s="24" t="s">
        <v>401</v>
      </c>
      <c r="B9" s="5" t="s">
        <v>402</v>
      </c>
      <c r="C9" s="5" t="s">
        <v>403</v>
      </c>
    </row>
    <row r="10" spans="1:3" ht="36" x14ac:dyDescent="0.3">
      <c r="A10" s="24" t="s">
        <v>404</v>
      </c>
      <c r="B10" s="5" t="s">
        <v>405</v>
      </c>
      <c r="C10" s="5" t="s">
        <v>406</v>
      </c>
    </row>
    <row r="11" spans="1:3" ht="36" x14ac:dyDescent="0.3">
      <c r="A11" s="24" t="s">
        <v>407</v>
      </c>
      <c r="B11" s="5" t="s">
        <v>408</v>
      </c>
      <c r="C11" s="5" t="s">
        <v>409</v>
      </c>
    </row>
    <row r="12" spans="1:3" ht="36" x14ac:dyDescent="0.3">
      <c r="A12" s="24" t="s">
        <v>410</v>
      </c>
      <c r="B12" s="5" t="s">
        <v>411</v>
      </c>
      <c r="C12" s="5" t="s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VERSION-CONTROL</vt:lpstr>
      <vt:lpstr>ASSESSMENT</vt:lpstr>
      <vt:lpstr>GAP-REMEDIATION</vt:lpstr>
      <vt:lpstr>KEY-FINDINGS</vt:lpstr>
      <vt:lpstr>HEATMAP-PRIORITISATION</vt:lpstr>
      <vt:lpstr>REMEDIATION-ROADMAP</vt:lpstr>
      <vt:lpstr>TRAJECTORY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Rity Shree</cp:lastModifiedBy>
  <dcterms:created xsi:type="dcterms:W3CDTF">2026-09-14T14:09:35Z</dcterms:created>
  <dcterms:modified xsi:type="dcterms:W3CDTF">2026-09-14T14:31:26Z</dcterms:modified>
</cp:coreProperties>
</file>