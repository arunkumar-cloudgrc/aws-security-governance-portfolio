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areer\Portfolio\Project4\Artifacts V2\"/>
    </mc:Choice>
  </mc:AlternateContent>
  <xr:revisionPtr revIDLastSave="0" documentId="13_ncr:1_{02088708-1C5C-423F-8794-15A3C1B32EC2}" xr6:coauthVersionLast="47" xr6:coauthVersionMax="47" xr10:uidLastSave="{00000000-0000-0000-0000-000000000000}"/>
  <bookViews>
    <workbookView xWindow="22932" yWindow="-108" windowWidth="23256" windowHeight="12720" tabRatio="500" xr2:uid="{00000000-000D-0000-FFFF-FFFF00000000}"/>
  </bookViews>
  <sheets>
    <sheet name="README" sheetId="1" r:id="rId1"/>
    <sheet name="VERSION-CONTROL" sheetId="2" r:id="rId2"/>
    <sheet name="SUMMARY-DASHBOARD" sheetId="3" r:id="rId3"/>
    <sheet name="REGISTER" sheetId="4" r:id="rId4"/>
    <sheet name="R-11-DETAIL" sheetId="5" r:id="rId5"/>
    <sheet name="SCORING-ANCHORS" sheetId="6" r:id="rId6"/>
    <sheet name="APPETITE-CHECK" sheetId="7" r:id="rId7"/>
  </sheets>
  <definedNames>
    <definedName name="_xlnm._FilterDatabase" localSheetId="3" hidden="1">REGISTER!$A$4:$W$24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4" l="1"/>
  <c r="B29" i="4"/>
  <c r="B28" i="4"/>
  <c r="B27" i="4"/>
  <c r="O24" i="4"/>
  <c r="I24" i="4"/>
  <c r="O23" i="4"/>
  <c r="I23" i="4"/>
  <c r="O22" i="4"/>
  <c r="I22" i="4"/>
  <c r="O21" i="4"/>
  <c r="I21" i="4"/>
  <c r="O20" i="4"/>
  <c r="I20" i="4"/>
  <c r="O19" i="4"/>
  <c r="I19" i="4"/>
  <c r="O18" i="4"/>
  <c r="I18" i="4"/>
  <c r="O17" i="4"/>
  <c r="I17" i="4"/>
  <c r="O16" i="4"/>
  <c r="I16" i="4"/>
  <c r="O15" i="4"/>
  <c r="I15" i="4"/>
  <c r="O14" i="4"/>
  <c r="I14" i="4"/>
  <c r="O13" i="4"/>
  <c r="I13" i="4"/>
  <c r="O12" i="4"/>
  <c r="I12" i="4"/>
  <c r="O11" i="4"/>
  <c r="I11" i="4"/>
  <c r="O10" i="4"/>
  <c r="I10" i="4"/>
  <c r="O9" i="4"/>
  <c r="I9" i="4"/>
  <c r="O8" i="4"/>
  <c r="I8" i="4"/>
  <c r="O7" i="4"/>
  <c r="I7" i="4"/>
  <c r="O6" i="4"/>
  <c r="I6" i="4"/>
  <c r="O5" i="4"/>
  <c r="B31" i="4" s="1"/>
  <c r="I5" i="4"/>
</calcChain>
</file>

<file path=xl/sharedStrings.xml><?xml version="1.0" encoding="utf-8"?>
<sst xmlns="http://schemas.openxmlformats.org/spreadsheetml/2006/main" count="540" uniqueCount="360">
  <si>
    <t>Credit Decisioning Assistant — Artefact A-09 | Hybrid architecture: deterministic scoring layer + RAG narration layer</t>
  </si>
  <si>
    <t>Field</t>
  </si>
  <si>
    <t>Detail</t>
  </si>
  <si>
    <t>Purpose</t>
  </si>
  <si>
    <t>Central record of every identified risk, its assessment, treatment, owner and status. The spine of the framework — most other artefacts reference back to a risk ID here.</t>
  </si>
  <si>
    <t>Scoring Methodology</t>
  </si>
  <si>
    <t>Likelihood and Impact each 1–5. Inherent is pre-control; residual is post-control. Both formula-driven.</t>
  </si>
  <si>
    <t>Version and Approval History</t>
  </si>
  <si>
    <t>Version</t>
  </si>
  <si>
    <t>Date</t>
  </si>
  <si>
    <t>Author</t>
  </si>
  <si>
    <t>Reviewer</t>
  </si>
  <si>
    <t>Approver</t>
  </si>
  <si>
    <t>Status</t>
  </si>
  <si>
    <t>Change Summary</t>
  </si>
  <si>
    <t>v1.2</t>
  </si>
  <si>
    <t>2026-03-06</t>
  </si>
  <si>
    <t>AI Governance Lead</t>
  </si>
  <si>
    <t>Model Risk</t>
  </si>
  <si>
    <t>AIGC</t>
  </si>
  <si>
    <t>Superseded</t>
  </si>
  <si>
    <t>R-11 closed following remediation</t>
  </si>
  <si>
    <t>v1.3</t>
  </si>
  <si>
    <t>2026-09-13</t>
  </si>
  <si>
    <t>Model Risk; Security Architecture</t>
  </si>
  <si>
    <t>Pending</t>
  </si>
  <si>
    <t>Draft</t>
  </si>
  <si>
    <t>Recreated for the hybrid architecture. Six risks added covering the scoring layer and cost governance</t>
  </si>
  <si>
    <t>System: Credit Decisioning Assistant (CDA — Artefact A-09) | Date: 14-Sep-2026 | Governing Bodies: AIGC, AIEC, AI-CoE</t>
  </si>
  <si>
    <t>Gate / Lifecycle Stage</t>
  </si>
  <si>
    <t>Scope &amp; Domain</t>
  </si>
  <si>
    <t>Total Risks</t>
  </si>
  <si>
    <t>Closed at Gate</t>
  </si>
  <si>
    <t>Open / Monitored</t>
  </si>
  <si>
    <t>Zero-Appetite Risks</t>
  </si>
  <si>
    <t>Key Risk &amp; Gate Governance Highlights</t>
  </si>
  <si>
    <t>Gate 1 (D1)</t>
  </si>
  <si>
    <t>Strategy, Charter &amp; Risk Appetite</t>
  </si>
  <si>
    <t>R-06 closed via serverless teardown templates; baseline risk appetite approved.</t>
  </si>
  <si>
    <t>Gate 2 (D2)</t>
  </si>
  <si>
    <t>Data Ingestion, Privacy &amp; Lineage</t>
  </si>
  <si>
    <t>R-11 BLOCKED GATE 2 (DIR 0.67); closed at DIR 0.89. R-02 closed via 6-entity PII scrubbing.</t>
  </si>
  <si>
    <t>Gate 3 (D3)</t>
  </si>
  <si>
    <t>Architecture &amp; Model Selection</t>
  </si>
  <si>
    <t>R-03 closed (GDR-01); R-04 closed (GDR-02); R-05 monitored; R-07 active for Q4 foundation model cutover.</t>
  </si>
  <si>
    <t>Gate 4 (D4)</t>
  </si>
  <si>
    <t>Evaluation, Explainability &amp; Oversight</t>
  </si>
  <si>
    <t>R-13 closed (A-37 recourse); R-16 closed (holdout AUC gap 2.1 pts); R-12 accepted with condition (GDR-06 gap).</t>
  </si>
  <si>
    <t>Gate 5 (D5)</t>
  </si>
  <si>
    <t>Pre-Pilot Authorization &amp; Deployment</t>
  </si>
  <si>
    <t>R-05 un-guardrailed invocation verified blocked in IAM; R-20 latency/cost circuit-breaker operationalized.</t>
  </si>
  <si>
    <t>Gate 6 (D6)</t>
  </si>
  <si>
    <t>Post-Market Surveillance &amp; Operations</t>
  </si>
  <si>
    <t>R-18 concept drift monitored via PSI &gt; 0.2 and quarterly rolling AUC reviews.</t>
  </si>
  <si>
    <t>TOTAL</t>
  </si>
  <si>
    <t>Enterprise Lifecycle (Gates 1 to 6)</t>
  </si>
  <si>
    <t>20 risks actively managed. 9 closed through technical controls; 11 open under continuous monitoring.</t>
  </si>
  <si>
    <t>Enterprise AI Risk Register — Both Architectural Layers (Scoring &amp; Narration)</t>
  </si>
  <si>
    <t>Residual scores reflect risk after treatment controls. Residual impact does not fall arbitrarily; controls reduce likelihood.</t>
  </si>
  <si>
    <t>ID</t>
  </si>
  <si>
    <t>Category</t>
  </si>
  <si>
    <t>Risk Scenario / Description</t>
  </si>
  <si>
    <t>Gates</t>
  </si>
  <si>
    <t>Date Raised</t>
  </si>
  <si>
    <t>Inh L</t>
  </si>
  <si>
    <t>Inh I</t>
  </si>
  <si>
    <t>Harm Severity (HS)</t>
  </si>
  <si>
    <t>Inherent Score</t>
  </si>
  <si>
    <t>Existing / Planned Treatment Controls</t>
  </si>
  <si>
    <t>Treatment Option (ISO 31000)</t>
  </si>
  <si>
    <t>Control Effectiveness</t>
  </si>
  <si>
    <t>Res L</t>
  </si>
  <si>
    <t>Res I</t>
  </si>
  <si>
    <t>Residual Score</t>
  </si>
  <si>
    <t>Risk Owner</t>
  </si>
  <si>
    <t>Target Resolution Date</t>
  </si>
  <si>
    <t>Last Reviewed</t>
  </si>
  <si>
    <t>FMEA Ref</t>
  </si>
  <si>
    <t>Linked Risks</t>
  </si>
  <si>
    <t>Appetite Position</t>
  </si>
  <si>
    <t>Rating Rationale &amp; Evidence</t>
  </si>
  <si>
    <t>R-01</t>
  </si>
  <si>
    <t>Narration</t>
  </si>
  <si>
    <t>Model cites a policy clause that does not support the stated conclusion</t>
  </si>
  <si>
    <t>G2, G4</t>
  </si>
  <si>
    <t>2026-02-05</t>
  </si>
  <si>
    <t>Grounding block-on-fail; mandatory passage-level citation; underwriter check 2</t>
  </si>
  <si>
    <t>Mitigate</t>
  </si>
  <si>
    <t>Effective</t>
  </si>
  <si>
    <t>CLOSED</t>
  </si>
  <si>
    <t>2026-06-10</t>
  </si>
  <si>
    <t>2026-08-01</t>
  </si>
  <si>
    <t>FM-07</t>
  </si>
  <si>
    <t>R-11, R-12, R-13</t>
  </si>
  <si>
    <t>Zero appetite for unsupported output reaching a user</t>
  </si>
  <si>
    <t>Inherent L=4, I=5 (Score 20), HS=4 (Serious harm from misleading credit denial). Generative LLMs naturally hallucinate citations. Remediated via GDR-04 block-on-fail grounding (&lt;0.75 floor) and underwriter Check 2, driving residual likelihood down to 2 (Residual Score 8). Closed at Gate 4.</t>
  </si>
  <si>
    <t>R-02</t>
  </si>
  <si>
    <t>Data</t>
  </si>
  <si>
    <t>Personal data in output or persisted into the audit record</t>
  </si>
  <si>
    <t>G2, G5</t>
  </si>
  <si>
    <t>2026-01-28</t>
  </si>
  <si>
    <t>Six-entity redaction applied before output and before the record is written</t>
  </si>
  <si>
    <t>DPO</t>
  </si>
  <si>
    <t>2026-05-09</t>
  </si>
  <si>
    <t>FM-10</t>
  </si>
  <si>
    <t>R-05, R-14</t>
  </si>
  <si>
    <t>Zero appetite</t>
  </si>
  <si>
    <t>Inherent L=3, I=5 (Score 15), HS=5 (Severe statutory GDPR/PDPA violation). Customer identifiers entering prompts or logs. Controlled via boundary tokenization, regex/NER 6-entity PII scrubbing pre-logging, and KMS envelope encryption. Residual L=2, I=4 (Score 8). Closed at Gate 2.</t>
  </si>
  <si>
    <t>R-03</t>
  </si>
  <si>
    <t>Security</t>
  </si>
  <si>
    <t>Prompt injection manipulates the model or discloses internal thresholds</t>
  </si>
  <si>
    <t>G3, G4</t>
  </si>
  <si>
    <t>2026-03-10</t>
  </si>
  <si>
    <t>Prompt-attack filtering; quarterly adversarial suite; strict XML input delimiters</t>
  </si>
  <si>
    <t>Security Architecture</t>
  </si>
  <si>
    <t>FM-09</t>
  </si>
  <si>
    <t>R-05, R-19</t>
  </si>
  <si>
    <t>Low appetite</t>
  </si>
  <si>
    <t>Inherent L=4, I=4 (Score 16), HS=3. Free-text applicant notes used to manipulate credit rationale or extract scoring thresholds. Bedrock Guardrails (GDR-01) deployed with 99.2% attack detection recall in pre-go-live red-teaming. Residual L=2, I=3 (Score 6). Closed at Gate 4.</t>
  </si>
  <si>
    <t>R-04</t>
  </si>
  <si>
    <t>Conduct</t>
  </si>
  <si>
    <t>System produces regulated financial advice</t>
  </si>
  <si>
    <t>Denied-topic control with explicit definition and worked examples</t>
  </si>
  <si>
    <t>Compliance</t>
  </si>
  <si>
    <t>—</t>
  </si>
  <si>
    <t>Inherent L=3, I=5 (Score 15), HS=4. System drifting into financial advisory triggers licensing breaches under MAS FAA and UK FSMA. Mitigated via GDR-02 denied-topic filter in Bedrock Guardrails with zero-tolerance prompt testing. Residual L=1, I=4 (Score 4). Closed at Gate 4.</t>
  </si>
  <si>
    <t>R-05</t>
  </si>
  <si>
    <t>Access</t>
  </si>
  <si>
    <t>Invocation reaches a model without the approved control set</t>
  </si>
  <si>
    <t>G3, G5</t>
  </si>
  <si>
    <t>2026-03-15</t>
  </si>
  <si>
    <t>Permission-layer denial; governed exception path (ENF-02); real-time SIEM alarm</t>
  </si>
  <si>
    <t>OPEN — monitored</t>
  </si>
  <si>
    <t>2026-11-01</t>
  </si>
  <si>
    <t>FM-11</t>
  </si>
  <si>
    <t>R-02, R-03, R-07</t>
  </si>
  <si>
    <t>ZERO APPETITE — any occurrence forces suspension</t>
  </si>
  <si>
    <t>Inherent L=2, I=5 (Score 10), HS=5. Bypassing guardrails invalidates all governance evidence. Enforced via IAM execution policy locks (ENF-01). Residual impact remains 5 (catastrophic if bypassed); likelihood reduced to 1 (Score 5). Actively monitored in SIEM.</t>
  </si>
  <si>
    <t>R-06</t>
  </si>
  <si>
    <t>Cost</t>
  </si>
  <si>
    <t>Standing charge accruing with no corresponding business value</t>
  </si>
  <si>
    <t>G1, G5</t>
  </si>
  <si>
    <t>2026-01-15</t>
  </si>
  <si>
    <t>No-idle-cost architecture; zero-spend alarm; teardown covering every billable component</t>
  </si>
  <si>
    <t>R-20</t>
  </si>
  <si>
    <t>Moderate appetite</t>
  </si>
  <si>
    <t>Inherent L=4, I=2 (Score 8), HS=1. Idle provisioned throughput charges on SageMaker/Bedrock during pilot off-hours. Controlled via serverless on-demand endpoints and automated teardown templates. Residual L=2, I=2 (Score 4). Closed at Gate 5.</t>
  </si>
  <si>
    <t>R-07</t>
  </si>
  <si>
    <t>Vendor</t>
  </si>
  <si>
    <t>Provider changes the foundation model version, silently invalidating test evidence</t>
  </si>
  <si>
    <t>G3, G6</t>
  </si>
  <si>
    <t>2026-04-02</t>
  </si>
  <si>
    <t>Version change is a mandatory review trigger; no production traffic on an untested version</t>
  </si>
  <si>
    <t>Partial</t>
  </si>
  <si>
    <t>OPEN — active</t>
  </si>
  <si>
    <t>2026-10-15</t>
  </si>
  <si>
    <t>FM-15</t>
  </si>
  <si>
    <t>R-09, R-10, R-15</t>
  </si>
  <si>
    <t>Zero appetite for untested change</t>
  </si>
  <si>
    <t>Inherent L=3, I=4 (Score 12), HS=4. Cloud provider deprecation notice received. Pinned model ARN prevents silent cutover; evaluation test harness must re-run completely before routing traffic to v2.5. Active treatment plan in flight for Q4 cutover.</t>
  </si>
  <si>
    <t>R-08</t>
  </si>
  <si>
    <t>Human</t>
  </si>
  <si>
    <t>Underwriter review becomes a formality under volume pressure (automation bias)</t>
  </si>
  <si>
    <t>G4, G6</t>
  </si>
  <si>
    <t>2026-05-12</t>
  </si>
  <si>
    <t>Two-sided override band (15%-40%); competency attestation; below-band escalates as control failure</t>
  </si>
  <si>
    <t>Head of Lending Ops</t>
  </si>
  <si>
    <t>FM-13</t>
  </si>
  <si>
    <t>R-01, R-13, R-18</t>
  </si>
  <si>
    <t>Inherent L=3, I=5 (Score 15), HS=4. High loan application volumes cause underwriter fatigue and rubber-stamping, defeating statutory Art. 14 oversight. Mitigated via 3.5-minute review floor and two-sided override monitoring band (15%-40%). Residual L=3, I=4 (Score 12).</t>
  </si>
  <si>
    <t>R-09</t>
  </si>
  <si>
    <t>Corpus updated without re-test, invalidating grounding assurance</t>
  </si>
  <si>
    <t>G2, G6</t>
  </si>
  <si>
    <t>2026-02-10</t>
  </si>
  <si>
    <t>Corpus change as mandatory trigger; monthly integrity check against recorded SHA-256 hash</t>
  </si>
  <si>
    <t>FM-14</t>
  </si>
  <si>
    <t>R-01, R-07, R-14</t>
  </si>
  <si>
    <t>Inherent L=3, I=4 (Score 12), HS=3. Credit policy manual updates in SharePoint modify clause references, breaking citation accuracy. Controlled via S3 Object Lock and monthly automated Lambda hash verification against baseline A-14. Residual L=2, I=3 (Score 6).</t>
  </si>
  <si>
    <t>R-10</t>
  </si>
  <si>
    <t>Third party</t>
  </si>
  <si>
    <t>Provider terms, deprecation or data-handling change outside the bank's control</t>
  </si>
  <si>
    <t>G3</t>
  </si>
  <si>
    <t>2026-03-20</t>
  </si>
  <si>
    <t>Vendor due diligence at selection and annually; deprecation as a review trigger; contract clauses</t>
  </si>
  <si>
    <t>Procurement</t>
  </si>
  <si>
    <t>2026-12-01</t>
  </si>
  <si>
    <t>R-07, R-12</t>
  </si>
  <si>
    <t>Inherent L=3, I=4 (Score 12), HS=3. Commercial dependency on AWS Bedrock terms and SLA compliance. Addressed via enterprise BAA/addendum guaranteeing zero prompt data retention, data residency in ap-southeast-1, and 60-day deprecation notice. Residual L=2, I=3 (Score 6).</t>
  </si>
  <si>
    <t>R-11</t>
  </si>
  <si>
    <t>Fairness</t>
  </si>
  <si>
    <t>Proxy attribute in retrieval metadata produces different outcomes for identical applicants</t>
  </si>
  <si>
    <t>G2</t>
  </si>
  <si>
    <t>2026-02-17</t>
  </si>
  <si>
    <t>Field removed from metadata; address added to redaction; prompt constrained; quarterly re-test</t>
  </si>
  <si>
    <t>2026-03-04</t>
  </si>
  <si>
    <t>FM-06</t>
  </si>
  <si>
    <t>R-01, R-13</t>
  </si>
  <si>
    <t>ZERO APPETITE — blocked Gate 3 until closed</t>
  </si>
  <si>
    <t>Inherent L=3, I=5 (Score 15), HS=5. THE GATE 2 BLOCKED RISK: Postal district metadata leaked into RAG chunks, dropping DIR to 0.67 on lower-income segments. Remediated to DIR 0.89 by structural metadata removal and regex address scrubbing. Residual L=1, I=5 (Score 5). Closed at Gate 2.</t>
  </si>
  <si>
    <t>R-12</t>
  </si>
  <si>
    <t>Explainability</t>
  </si>
  <si>
    <t>Conclusion does not follow from the rules cited; no automated detection available in-region</t>
  </si>
  <si>
    <t>G4</t>
  </si>
  <si>
    <t>2026-04-18</t>
  </si>
  <si>
    <t>Compensating control only: passage-level citation makes the gap visible at underwriter check 2</t>
  </si>
  <si>
    <t>Accept with Condition</t>
  </si>
  <si>
    <t>OPEN — accepted</t>
  </si>
  <si>
    <t>FM-08</t>
  </si>
  <si>
    <t>R-01, R-08, R-13</t>
  </si>
  <si>
    <t>GDR-06 constrained. Highest Detection score in the FMEA</t>
  </si>
  <si>
    <t>Inherent L=3, I=4 (Score 12), HS=4. Automated entailment guardrail (GDR-06) unavailable in ap-southeast-1. Compensating control: mandatory passage citations verified by human underwriter Check 2. Formally accepted with condition by named AI Governance Lead. Residual L=3, I=4 (Score 12).</t>
  </si>
  <si>
    <t>R-13</t>
  </si>
  <si>
    <t>Recourse</t>
  </si>
  <si>
    <t>Affected person cannot contest the outcome meaningfully</t>
  </si>
  <si>
    <t>2026-04-20</t>
  </si>
  <si>
    <t>Independent re-review by a different underwriter within ten working days (Artefact A-37)</t>
  </si>
  <si>
    <t>R-01, R-11, R-14</t>
  </si>
  <si>
    <t>Inherent L=3, I=4 (Score 12), HS=4. Statutory contestability gap under GDPR Art. 22 and EU AI Act Art. 86. Remediated by drafting and operationalizing Adverse Action &amp; Customer Recourse Procedure (A-37) with a binding 10-day independent re-review SLA. Residual L=1, I=4 (Score 4). Closed at Gate 4.</t>
  </si>
  <si>
    <t>R-14</t>
  </si>
  <si>
    <t>Evidence</t>
  </si>
  <si>
    <t>Audit record cannot be produced within the re-review window</t>
  </si>
  <si>
    <t>G5, G6</t>
  </si>
  <si>
    <t>2026-06-01</t>
  </si>
  <si>
    <t>Annual retrieval verification; retrieval tested as part of each recourse case; WORM storage</t>
  </si>
  <si>
    <t>R-02, R-13</t>
  </si>
  <si>
    <t>Inherent L=2, I=4 (Score 8), HS=3. Failure to locate historical SHAP attributions, prompt versions, and decision traces within the statutory 10-day dispute window. Mitigated via centralized immutable S3 log bucket with automated indexing. Residual L=2, I=3 (Score 6).</t>
  </si>
  <si>
    <t>R-15</t>
  </si>
  <si>
    <t>Scoring</t>
  </si>
  <si>
    <t>Underfitting — model fails to learn sufficient signal from available data</t>
  </si>
  <si>
    <t>2026-05-15</t>
  </si>
  <si>
    <t>ROC-AUC 0.78 and F1 0.65 minimum gates; feature adequacy review before Gate 4 re-presentation</t>
  </si>
  <si>
    <t>Head of Model Risk</t>
  </si>
  <si>
    <t>FM-01</t>
  </si>
  <si>
    <t>R-16, R-17, R-18</t>
  </si>
  <si>
    <t>Zero appetite for deployment below stated minimums</t>
  </si>
  <si>
    <t>Inherent L=3, I=5 (Score 15), HS=4. Scoring model fails to reach statistical power, mispricing loans across populations. Benchmarked at ROC-AUC 0.847 in validation, exceeding 0.78 floor. Continuous monitoring on live pilot batches. Residual L=2, I=4 (Score 8).</t>
  </si>
  <si>
    <t>R-16</t>
  </si>
  <si>
    <t>Overfitting — model fits noise and fails on unseen applicants</t>
  </si>
  <si>
    <t>Generalization gap against 5-point AUC tolerance on holdout partition held by Model Risk</t>
  </si>
  <si>
    <t>FM-02</t>
  </si>
  <si>
    <t>R-15, R-18</t>
  </si>
  <si>
    <t>Inherent L=3, I=4 (Score 12), HS=4. Disproportionately high validation accuracy collapsing on live applicants. Tested against single-blind test partition; generalization gap held at 2.1 points (within 5.0 tolerance). Closed at Gate 4.</t>
  </si>
  <si>
    <t>R-17</t>
  </si>
  <si>
    <t>Calibration drift — predicted probabilities stop meaning what they say</t>
  </si>
  <si>
    <t>2026-05-20</t>
  </si>
  <si>
    <t>Brier monitored against 0.18 tolerance on live outcomes; HITL marginal band tied to probability scale</t>
  </si>
  <si>
    <t>FM-03</t>
  </si>
  <si>
    <t>R-08, R-15, R-18</t>
  </si>
  <si>
    <t>Inherent L=3, I=4 (Score 12), HS=4. Scoring probabilities misaligned with empirical default odds misroute borderline loans into or out of underwriter queues. Brier score tracked against 0.18 ceiling (0.13 achieved). Residual L=3, I=4 (Score 12).</t>
  </si>
  <si>
    <t>R-18</t>
  </si>
  <si>
    <t>Concept drift — feature-outcome relationship changes post-deployment</t>
  </si>
  <si>
    <t>G6</t>
  </si>
  <si>
    <t>2026-06-15</t>
  </si>
  <si>
    <t>Rolling AUC against matured outcomes; decay beyond 3 points triggers retraining assessment</t>
  </si>
  <si>
    <t>FM-04</t>
  </si>
  <si>
    <t>R-08, R-17</t>
  </si>
  <si>
    <t>Inherent L=4, I=4 (Score 16), HS=4. Macroeconomic shifts (inflation, rate hikes) decoupling historical credit signals from loan defaults. Monitored via SageMaker Model Monitor with PSI &gt; 0.2 and 3-point AUC decay alarm triggers. Residual L=3, I=4 (Score 12).</t>
  </si>
  <si>
    <t>R-19</t>
  </si>
  <si>
    <t>Model extraction or membership inference via systematic probing</t>
  </si>
  <si>
    <t>2026-05-25</t>
  </si>
  <si>
    <t>Per-identity rate limiting; anomalous query-pattern alarm; no per-record confidence exposure</t>
  </si>
  <si>
    <t>FM-05</t>
  </si>
  <si>
    <t>Moderate appetite — managed, not eliminated</t>
  </si>
  <si>
    <t>Inherent L=3, I=3 (Score 9), HS=2. Adversary reconstructing proprietary tree split thresholds to game underwriting. Mitigated by suppressing raw probability scores from customer-facing notices and enforcing WAF rate limits. Residual L=2, I=3 (Score 6).</t>
  </si>
  <si>
    <t>Sustained breach of latency or cost-per-inference threshold degrades usability or viability</t>
  </si>
  <si>
    <t>2026-06-20</t>
  </si>
  <si>
    <t>Green/amber/red threshold treatment; circuit breaker on latency; optimisation may not weaken controls</t>
  </si>
  <si>
    <t>Platform Operations</t>
  </si>
  <si>
    <t>Moderate appetite — a governed constraint, not a budget line</t>
  </si>
  <si>
    <t>Inherent L=3, I=3 (Score 9), HS=2. LLM narration token generation latency (&gt;1.5s p95) backing up underwriter queues. Governed via RES-01 circuit breaker tripping to deterministic score fallback if latency exceeds 1.5s for 3 consecutive calls. Residual L=2, I=3 (Score 6).</t>
  </si>
  <si>
    <t>Summary Metrics</t>
  </si>
  <si>
    <t>Risks on Register</t>
  </si>
  <si>
    <t>Scoring Layer Risks</t>
  </si>
  <si>
    <t>Closed Risks</t>
  </si>
  <si>
    <t>Open Risks (Monitored / Active / Accepted)</t>
  </si>
  <si>
    <t>Highest Residual Score</t>
  </si>
  <si>
    <t>Risks That Blocked a Gate</t>
  </si>
  <si>
    <t>Governance Note on Institutional ERM Rigor: R-05 (Ungoverned Invocation) and R-11 (Proxy Discrimination) carry residual impact 5 despite low residual likelihood (Res L=1). Residual impact does not fall merely because a control was applied — the harm to an affected natural person or regulatory standing if the failure occurs remains catastrophic. Only likelihood moves under effective controls. Registers that artificially reduce both understate the true enterprise risk being carried.</t>
  </si>
  <si>
    <t>Retained in full. Cross-references A-15, A-14, A-28.</t>
  </si>
  <si>
    <t>2026-02-17, at Gate 2 following counterfactual pair testing</t>
  </si>
  <si>
    <t>Risk Description</t>
  </si>
  <si>
    <t>Applicants with identical income, employment tenure, existing debt, credit history and requested amount received materially different recommendations depending on residential postal district</t>
  </si>
  <si>
    <t>Detection Finding</t>
  </si>
  <si>
    <t>Disparate impact ratio 0.67 against a threshold of 0.80 declared before testing began</t>
  </si>
  <si>
    <t>Root Cause Analysis</t>
  </si>
  <si>
    <t>Postal district present in retrieval corpus metadata, carried from a predecessor document management schema with no recorded purpose. The scoring layer feature set was clean — the disparity entered through the retrieval layer</t>
  </si>
  <si>
    <t>Why Conventional Review Missed It</t>
  </si>
  <si>
    <t>Postal district was never a supplied feature. Feature-level bias review would not have found it; only counterfactual output testing did</t>
  </si>
  <si>
    <t>Governance Action</t>
  </si>
  <si>
    <t>Progression blocked by the AIGC. Zero-appetite category — acceptance was not available as an option</t>
  </si>
  <si>
    <t>Remediation Implemented</t>
  </si>
  <si>
    <t>Field removed from metadata; address added to the PII redaction entity set; prompt constrained to exclude geography; mandatory inference assessment added to A-08</t>
  </si>
  <si>
    <t>Re-Test Results</t>
  </si>
  <si>
    <t>2026-03-02. Disparate impact ratio 0.89; retrieval-chunk differential fell to 1.1</t>
  </si>
  <si>
    <t>Gate Release Date</t>
  </si>
  <si>
    <t>2026-03-04, on gate release by the AIGC</t>
  </si>
  <si>
    <t>Residual Risk Position</t>
  </si>
  <si>
    <t>Postal district remains inferable in rare cases from corpus content naming a specific development. Accepted low with quarterly re-test as compensating control</t>
  </si>
  <si>
    <t>Why the block record is retained</t>
  </si>
  <si>
    <t>The blocked row sits permanently above the release row in A-28. Deleting it once remediated would erase the only evidence the framework has ever stopped anything</t>
  </si>
  <si>
    <t>Risk Scoring Anchors and Evaluation Scales (5×5 Matrix)</t>
  </si>
  <si>
    <t>Unanchored 1–5 scales drift between assessors and across review cycles.</t>
  </si>
  <si>
    <t>Score</t>
  </si>
  <si>
    <t>Likelihood Criteria (L)</t>
  </si>
  <si>
    <t>Impact Criteria (I)</t>
  </si>
  <si>
    <t>5</t>
  </si>
  <si>
    <t>Almost certain — expected without controls</t>
  </si>
  <si>
    <t>Severe — regulatory breach, discriminatory outcome, or confirmed harm to an applicant</t>
  </si>
  <si>
    <t>4</t>
  </si>
  <si>
    <t>Likely — probable under normal operation</t>
  </si>
  <si>
    <t>Serious — material control failure or loss of assurance</t>
  </si>
  <si>
    <t>3</t>
  </si>
  <si>
    <t>Possible — has occurred in comparable systems</t>
  </si>
  <si>
    <t>Moderate — degraded performance, recoverable</t>
  </si>
  <si>
    <t>2</t>
  </si>
  <si>
    <t>Unlikely — would require an unusual combination</t>
  </si>
  <si>
    <t>Minor — limited operational impact</t>
  </si>
  <si>
    <t>1</t>
  </si>
  <si>
    <t>Rare — no realistic pathway identified</t>
  </si>
  <si>
    <t>Negligible — no material impact</t>
  </si>
  <si>
    <t>Risk Appetite Boundary Check and Compliance Position</t>
  </si>
  <si>
    <t>Zero-appetite risks cannot be accepted. This tab makes the constraint visible rather than buried in policy.</t>
  </si>
  <si>
    <t>Risk ID</t>
  </si>
  <si>
    <t>Appetite Limit</t>
  </si>
  <si>
    <t>Compliance Position</t>
  </si>
  <si>
    <t>Governance Note</t>
  </si>
  <si>
    <t>Ungoverned model access</t>
  </si>
  <si>
    <t>ZERO</t>
  </si>
  <si>
    <t>Compliant</t>
  </si>
  <si>
    <t>Residual likelihood 1. Any occurrence triggers immediate suspension. Controlled, not accepted</t>
  </si>
  <si>
    <t>Discriminatory outcome</t>
  </si>
  <si>
    <t>Blocked Gate 3 until closed. Acceptance was never available</t>
  </si>
  <si>
    <t>Personal data exposure</t>
  </si>
  <si>
    <t>Redaction applied before the record is written</t>
  </si>
  <si>
    <t>Untested model version in production</t>
  </si>
  <si>
    <t>Deprecation notice active. Migration must complete testing before cutover</t>
  </si>
  <si>
    <t>Deployment below stated performance minimums</t>
  </si>
  <si>
    <t>Underfitting assessment at every validation. No signal at v2.4</t>
  </si>
  <si>
    <t>Applicant cannot contest</t>
  </si>
  <si>
    <t>Recourse route operational before first live decision</t>
  </si>
  <si>
    <t>Explainability gap from constrained control</t>
  </si>
  <si>
    <t>Low</t>
  </si>
  <si>
    <t>Accepted with condition</t>
  </si>
  <si>
    <t>Named accepting role: AI Governance Lead. Quarterly availability review. Compensating control stated as weaker</t>
  </si>
  <si>
    <t>Oversight decay</t>
  </si>
  <si>
    <t>Within appetite</t>
  </si>
  <si>
    <t>Behavioural risk managed by measurement. Two consecutive below-band months escalate</t>
  </si>
  <si>
    <t>Calibration drift</t>
  </si>
  <si>
    <t>Brier monitored on live outcomes</t>
  </si>
  <si>
    <t>Concept drift</t>
  </si>
  <si>
    <t>Rolling AUC against matured outcomes</t>
  </si>
  <si>
    <t>Model extraction</t>
  </si>
  <si>
    <t>Moderate</t>
  </si>
  <si>
    <t>Rate limiting and anomaly detection. Managed, not eliminated</t>
  </si>
  <si>
    <t>Cost or latency threshold breach</t>
  </si>
  <si>
    <t>Green/amber/red treatment; optimisation may not weaken a mandatory control</t>
  </si>
  <si>
    <t>R-12 is the only accepted residual risk in the register, and it names an individual accepting role rather than the committee collectively — a risk accepted by a committee is a risk nobody owns.</t>
  </si>
  <si>
    <t>Enterprise AI Risk Register - Executive Dashboard &amp; Gate Tracebility</t>
  </si>
  <si>
    <t>R-11 - Detailed Case Study of the Gate That Blocked</t>
  </si>
  <si>
    <t>Enterprise AI Risk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</si>
</sst>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b/>
      <sz val="10"/>
      <name val="Arial"/>
      <charset val="1"/>
    </font>
    <font>
      <sz val="10"/>
      <name val="Arial"/>
      <charset val="1"/>
    </font>
    <font>
      <sz val="9.5"/>
      <color rgb="FF000000"/>
      <name val="Arial"/>
    </font>
    <font>
      <b/>
      <sz val="10"/>
      <color rgb="FFFFFFFF"/>
      <name val="Arial"/>
    </font>
    <font>
      <b/>
      <sz val="9.5"/>
      <color rgb="FF000000"/>
      <name val="Arial"/>
    </font>
    <font>
      <b/>
      <sz val="9.5"/>
      <color rgb="FF274E13"/>
      <name val="Arial"/>
    </font>
    <font>
      <b/>
      <sz val="9.5"/>
      <color rgb="FFB25900"/>
      <name val="Arial"/>
    </font>
    <font>
      <b/>
      <sz val="9.5"/>
      <color rgb="FFC00000"/>
      <name val="Arial"/>
    </font>
    <font>
      <b/>
      <sz val="11"/>
      <color rgb="FF1F3864"/>
      <name val="Arial"/>
    </font>
    <font>
      <i/>
      <sz val="9.5"/>
      <color rgb="FF333333"/>
      <name val="Arial"/>
    </font>
    <font>
      <b/>
      <sz val="13"/>
      <color rgb="FF1F3864"/>
      <name val="Arial"/>
    </font>
    <font>
      <i/>
      <sz val="9.5"/>
      <color rgb="FF595959"/>
      <name val="Arial"/>
    </font>
  </fonts>
  <fills count="10">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DEEAF6"/>
      </patternFill>
    </fill>
    <fill>
      <patternFill patternType="solid">
        <fgColor rgb="FF1F3864"/>
        <bgColor rgb="FF1F3864"/>
      </patternFill>
    </fill>
    <fill>
      <patternFill patternType="solid">
        <fgColor rgb="FFD9EAD3"/>
        <bgColor rgb="FFD9EAD3"/>
      </patternFill>
    </fill>
    <fill>
      <patternFill patternType="solid">
        <fgColor rgb="FFFFF2CC"/>
        <bgColor rgb="FFFFF2CC"/>
      </patternFill>
    </fill>
    <fill>
      <patternFill patternType="solid">
        <fgColor rgb="FFFCE4D6"/>
        <bgColor rgb="FFFCE4D6"/>
      </patternFill>
    </fill>
    <fill>
      <patternFill patternType="solid">
        <fgColor rgb="FFE8EEF5"/>
        <bgColor rgb="FFE8EEF5"/>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6" fillId="0" borderId="2" xfId="0" applyFont="1" applyBorder="1" applyAlignment="1">
      <alignment horizontal="left" vertical="center" wrapText="1"/>
    </xf>
    <xf numFmtId="0" fontId="7" fillId="5" borderId="2" xfId="0" applyFont="1" applyFill="1" applyBorder="1" applyAlignment="1">
      <alignment horizontal="center" vertical="center" wrapText="1"/>
    </xf>
    <xf numFmtId="0" fontId="8" fillId="0" borderId="2" xfId="0" applyFont="1" applyBorder="1" applyAlignment="1">
      <alignment horizontal="center" vertical="center"/>
    </xf>
    <xf numFmtId="0" fontId="6" fillId="0" borderId="2" xfId="0" applyFont="1" applyBorder="1" applyAlignment="1">
      <alignment horizontal="center" vertical="center"/>
    </xf>
    <xf numFmtId="0" fontId="9" fillId="6" borderId="2" xfId="0" applyFont="1" applyFill="1" applyBorder="1" applyAlignment="1">
      <alignment horizontal="center" vertical="center"/>
    </xf>
    <xf numFmtId="0" fontId="10" fillId="7" borderId="2" xfId="0" applyFont="1" applyFill="1" applyBorder="1" applyAlignment="1">
      <alignment horizontal="center" vertical="center"/>
    </xf>
    <xf numFmtId="0" fontId="11"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2" xfId="0" applyFont="1" applyFill="1" applyBorder="1" applyAlignment="1">
      <alignment horizontal="left" vertical="center" wrapText="1"/>
    </xf>
    <xf numFmtId="0" fontId="0" fillId="0" borderId="3" xfId="0" applyBorder="1"/>
    <xf numFmtId="0" fontId="8" fillId="0" borderId="2" xfId="0" applyFont="1" applyBorder="1" applyAlignment="1">
      <alignment horizontal="center" vertical="top"/>
    </xf>
    <xf numFmtId="0" fontId="6" fillId="0" borderId="2" xfId="0" applyFont="1" applyBorder="1" applyAlignment="1">
      <alignment horizontal="center" vertical="top"/>
    </xf>
    <xf numFmtId="0" fontId="6" fillId="0" borderId="2" xfId="0" applyFont="1" applyBorder="1" applyAlignment="1">
      <alignment horizontal="left" vertical="top" wrapText="1"/>
    </xf>
    <xf numFmtId="0" fontId="9" fillId="6" borderId="2" xfId="0" applyFont="1" applyFill="1" applyBorder="1" applyAlignment="1">
      <alignment horizontal="center" vertical="top"/>
    </xf>
    <xf numFmtId="0" fontId="10" fillId="7" borderId="2" xfId="0" applyFont="1" applyFill="1" applyBorder="1" applyAlignment="1">
      <alignment horizontal="center" vertical="top"/>
    </xf>
    <xf numFmtId="0" fontId="11" fillId="8" borderId="2" xfId="0" applyFont="1" applyFill="1" applyBorder="1" applyAlignment="1">
      <alignment horizontal="center" vertical="top"/>
    </xf>
    <xf numFmtId="0" fontId="12" fillId="0" borderId="3" xfId="0" applyFont="1" applyBorder="1"/>
    <xf numFmtId="0" fontId="8" fillId="0" borderId="3" xfId="0" applyFont="1" applyBorder="1"/>
    <xf numFmtId="0" fontId="8" fillId="0" borderId="3" xfId="0" applyFont="1" applyBorder="1" applyAlignment="1">
      <alignment horizontal="center" vertical="center"/>
    </xf>
    <xf numFmtId="0" fontId="3"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xf>
    <xf numFmtId="0" fontId="15" fillId="0" borderId="0" xfId="0" applyFont="1" applyAlignment="1">
      <alignment horizontal="left" vertical="center"/>
    </xf>
    <xf numFmtId="0" fontId="0" fillId="0" borderId="0" xfId="0"/>
    <xf numFmtId="0" fontId="14" fillId="0" borderId="0" xfId="0" applyFont="1" applyAlignment="1">
      <alignment horizontal="left" vertical="center"/>
    </xf>
    <xf numFmtId="0" fontId="13"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zoomScaleNormal="100" workbookViewId="0">
      <selection activeCell="A4" sqref="A4"/>
    </sheetView>
  </sheetViews>
  <sheetFormatPr defaultColWidth="8.6640625" defaultRowHeight="14.4" x14ac:dyDescent="0.3"/>
  <cols>
    <col min="1" max="1" width="26" customWidth="1"/>
    <col min="2" max="2" width="112" customWidth="1"/>
  </cols>
  <sheetData>
    <row r="1" spans="1:2" ht="17.399999999999999" customHeight="1" x14ac:dyDescent="0.3">
      <c r="A1" s="1" t="s">
        <v>359</v>
      </c>
    </row>
    <row r="2" spans="1:2" ht="15" customHeight="1" x14ac:dyDescent="0.3">
      <c r="A2" s="2" t="s">
        <v>0</v>
      </c>
    </row>
    <row r="4" spans="1:2" s="27" customFormat="1" ht="15" customHeight="1" x14ac:dyDescent="0.3">
      <c r="A4" s="26" t="s">
        <v>1</v>
      </c>
      <c r="B4" s="26" t="s">
        <v>2</v>
      </c>
    </row>
    <row r="5" spans="1:2" ht="49.5" customHeight="1" x14ac:dyDescent="0.3">
      <c r="A5" s="3" t="s">
        <v>3</v>
      </c>
      <c r="B5" s="4" t="s">
        <v>4</v>
      </c>
    </row>
    <row r="6" spans="1:2" ht="49.5" customHeight="1" x14ac:dyDescent="0.3">
      <c r="A6" s="3" t="s">
        <v>5</v>
      </c>
      <c r="B6" s="4" t="s">
        <v>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zoomScaleNormal="100" workbookViewId="0">
      <selection activeCell="A4" sqref="A4"/>
    </sheetView>
  </sheetViews>
  <sheetFormatPr defaultColWidth="8.6640625" defaultRowHeight="14.4" x14ac:dyDescent="0.3"/>
  <cols>
    <col min="1" max="1" width="10" customWidth="1"/>
    <col min="2" max="2" width="13" customWidth="1"/>
    <col min="3" max="3" width="20" customWidth="1"/>
    <col min="4" max="4" width="24" customWidth="1"/>
    <col min="5" max="5" width="22" customWidth="1"/>
    <col min="6" max="6" width="14" customWidth="1"/>
    <col min="7" max="7" width="62" customWidth="1"/>
  </cols>
  <sheetData>
    <row r="1" spans="1:7" ht="17.399999999999999" customHeight="1" x14ac:dyDescent="0.3">
      <c r="A1" s="1" t="s">
        <v>7</v>
      </c>
    </row>
    <row r="4" spans="1:7" s="27" customFormat="1" ht="15" customHeight="1" x14ac:dyDescent="0.3">
      <c r="A4" s="26" t="s">
        <v>8</v>
      </c>
      <c r="B4" s="26" t="s">
        <v>9</v>
      </c>
      <c r="C4" s="26" t="s">
        <v>10</v>
      </c>
      <c r="D4" s="26" t="s">
        <v>11</v>
      </c>
      <c r="E4" s="26" t="s">
        <v>12</v>
      </c>
      <c r="F4" s="26" t="s">
        <v>13</v>
      </c>
      <c r="G4" s="26" t="s">
        <v>14</v>
      </c>
    </row>
    <row r="5" spans="1:7" ht="33.75" customHeight="1" x14ac:dyDescent="0.3">
      <c r="A5" s="4" t="s">
        <v>15</v>
      </c>
      <c r="B5" s="4" t="s">
        <v>16</v>
      </c>
      <c r="C5" s="4" t="s">
        <v>17</v>
      </c>
      <c r="D5" s="4" t="s">
        <v>18</v>
      </c>
      <c r="E5" s="4" t="s">
        <v>19</v>
      </c>
      <c r="F5" s="4" t="s">
        <v>20</v>
      </c>
      <c r="G5" s="4" t="s">
        <v>21</v>
      </c>
    </row>
    <row r="6" spans="1:7" ht="33.75" customHeight="1" x14ac:dyDescent="0.3">
      <c r="A6" s="4" t="s">
        <v>22</v>
      </c>
      <c r="B6" s="4" t="s">
        <v>23</v>
      </c>
      <c r="C6" s="4" t="s">
        <v>17</v>
      </c>
      <c r="D6" s="4" t="s">
        <v>24</v>
      </c>
      <c r="E6" s="4" t="s">
        <v>25</v>
      </c>
      <c r="F6" s="4" t="s">
        <v>26</v>
      </c>
      <c r="G6" s="4" t="s">
        <v>27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election activeCell="A4" sqref="A4"/>
    </sheetView>
  </sheetViews>
  <sheetFormatPr defaultRowHeight="14.4" x14ac:dyDescent="0.3"/>
  <cols>
    <col min="1" max="1" width="16" customWidth="1"/>
    <col min="2" max="2" width="34" customWidth="1"/>
    <col min="3" max="3" width="14" customWidth="1"/>
    <col min="4" max="4" width="16" customWidth="1"/>
    <col min="5" max="5" width="18" customWidth="1"/>
    <col min="6" max="6" width="20" customWidth="1"/>
    <col min="7" max="7" width="58" customWidth="1"/>
  </cols>
  <sheetData>
    <row r="1" spans="1:7" ht="24" customHeight="1" x14ac:dyDescent="0.3">
      <c r="A1" s="31" t="s">
        <v>357</v>
      </c>
      <c r="B1" s="30"/>
      <c r="C1" s="30"/>
      <c r="D1" s="30"/>
      <c r="E1" s="30"/>
      <c r="F1" s="30"/>
      <c r="G1" s="30"/>
    </row>
    <row r="2" spans="1:7" ht="18" customHeight="1" x14ac:dyDescent="0.3">
      <c r="A2" s="29" t="s">
        <v>28</v>
      </c>
      <c r="B2" s="30"/>
      <c r="C2" s="30"/>
      <c r="D2" s="30"/>
      <c r="E2" s="30"/>
      <c r="F2" s="30"/>
      <c r="G2" s="30"/>
    </row>
    <row r="4" spans="1:7" s="27" customFormat="1" ht="25.95" customHeight="1" x14ac:dyDescent="0.3">
      <c r="A4" s="8" t="s">
        <v>29</v>
      </c>
      <c r="B4" s="8" t="s">
        <v>30</v>
      </c>
      <c r="C4" s="8" t="s">
        <v>31</v>
      </c>
      <c r="D4" s="8" t="s">
        <v>32</v>
      </c>
      <c r="E4" s="8" t="s">
        <v>33</v>
      </c>
      <c r="F4" s="8" t="s">
        <v>34</v>
      </c>
      <c r="G4" s="8" t="s">
        <v>35</v>
      </c>
    </row>
    <row r="5" spans="1:7" ht="31.95" customHeight="1" x14ac:dyDescent="0.3">
      <c r="A5" s="9" t="s">
        <v>36</v>
      </c>
      <c r="B5" s="7" t="s">
        <v>37</v>
      </c>
      <c r="C5" s="10">
        <v>2</v>
      </c>
      <c r="D5" s="11">
        <v>1</v>
      </c>
      <c r="E5" s="12">
        <v>1</v>
      </c>
      <c r="F5" s="10">
        <v>0</v>
      </c>
      <c r="G5" s="7" t="s">
        <v>38</v>
      </c>
    </row>
    <row r="6" spans="1:7" ht="31.95" customHeight="1" x14ac:dyDescent="0.3">
      <c r="A6" s="9" t="s">
        <v>39</v>
      </c>
      <c r="B6" s="7" t="s">
        <v>40</v>
      </c>
      <c r="C6" s="10">
        <v>4</v>
      </c>
      <c r="D6" s="11">
        <v>3</v>
      </c>
      <c r="E6" s="12">
        <v>1</v>
      </c>
      <c r="F6" s="13">
        <v>2</v>
      </c>
      <c r="G6" s="7" t="s">
        <v>41</v>
      </c>
    </row>
    <row r="7" spans="1:7" ht="31.95" customHeight="1" x14ac:dyDescent="0.3">
      <c r="A7" s="9" t="s">
        <v>42</v>
      </c>
      <c r="B7" s="7" t="s">
        <v>43</v>
      </c>
      <c r="C7" s="10">
        <v>5</v>
      </c>
      <c r="D7" s="11">
        <v>2</v>
      </c>
      <c r="E7" s="12">
        <v>3</v>
      </c>
      <c r="F7" s="13">
        <v>2</v>
      </c>
      <c r="G7" s="7" t="s">
        <v>44</v>
      </c>
    </row>
    <row r="8" spans="1:7" ht="31.95" customHeight="1" x14ac:dyDescent="0.3">
      <c r="A8" s="9" t="s">
        <v>45</v>
      </c>
      <c r="B8" s="7" t="s">
        <v>46</v>
      </c>
      <c r="C8" s="10">
        <v>6</v>
      </c>
      <c r="D8" s="11">
        <v>3</v>
      </c>
      <c r="E8" s="12">
        <v>3</v>
      </c>
      <c r="F8" s="13">
        <v>2</v>
      </c>
      <c r="G8" s="7" t="s">
        <v>47</v>
      </c>
    </row>
    <row r="9" spans="1:7" ht="31.95" customHeight="1" x14ac:dyDescent="0.3">
      <c r="A9" s="9" t="s">
        <v>48</v>
      </c>
      <c r="B9" s="7" t="s">
        <v>49</v>
      </c>
      <c r="C9" s="10">
        <v>2</v>
      </c>
      <c r="D9" s="10">
        <v>0</v>
      </c>
      <c r="E9" s="12">
        <v>2</v>
      </c>
      <c r="F9" s="13">
        <v>1</v>
      </c>
      <c r="G9" s="7" t="s">
        <v>50</v>
      </c>
    </row>
    <row r="10" spans="1:7" ht="31.95" customHeight="1" x14ac:dyDescent="0.3">
      <c r="A10" s="9" t="s">
        <v>51</v>
      </c>
      <c r="B10" s="7" t="s">
        <v>52</v>
      </c>
      <c r="C10" s="10">
        <v>1</v>
      </c>
      <c r="D10" s="10">
        <v>0</v>
      </c>
      <c r="E10" s="12">
        <v>1</v>
      </c>
      <c r="F10" s="10">
        <v>0</v>
      </c>
      <c r="G10" s="7" t="s">
        <v>53</v>
      </c>
    </row>
    <row r="11" spans="1:7" ht="31.95" customHeight="1" x14ac:dyDescent="0.3">
      <c r="A11" s="14" t="s">
        <v>54</v>
      </c>
      <c r="B11" s="15" t="s">
        <v>55</v>
      </c>
      <c r="C11" s="14">
        <v>20</v>
      </c>
      <c r="D11" s="14">
        <v>9</v>
      </c>
      <c r="E11" s="14">
        <v>11</v>
      </c>
      <c r="F11" s="14">
        <v>7</v>
      </c>
      <c r="G11" s="15" t="s">
        <v>56</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8"/>
  <sheetViews>
    <sheetView zoomScaleNormal="100" workbookViewId="0">
      <pane xSplit="3" ySplit="4" topLeftCell="D5" activePane="bottomRight" state="frozen"/>
      <selection pane="topRight" activeCell="D1" sqref="D1"/>
      <selection pane="bottomLeft" activeCell="A5" sqref="A5"/>
      <selection pane="bottomRight" activeCell="A4" sqref="A4"/>
    </sheetView>
  </sheetViews>
  <sheetFormatPr defaultColWidth="8.6640625" defaultRowHeight="14.4" x14ac:dyDescent="0.3"/>
  <cols>
    <col min="1" max="1" width="10" customWidth="1"/>
    <col min="2" max="2" width="15" customWidth="1"/>
    <col min="3" max="3" width="36" customWidth="1"/>
    <col min="4" max="4" width="10" customWidth="1"/>
    <col min="5" max="5" width="14" customWidth="1"/>
    <col min="6" max="7" width="8" customWidth="1"/>
    <col min="8" max="8" width="18" customWidth="1"/>
    <col min="9" max="9" width="14" customWidth="1"/>
    <col min="10" max="10" width="45" customWidth="1"/>
    <col min="11" max="11" width="22" customWidth="1"/>
    <col min="12" max="12" width="20" customWidth="1"/>
    <col min="13" max="14" width="8" customWidth="1"/>
    <col min="15" max="15" width="14" customWidth="1"/>
    <col min="16" max="16" width="22" customWidth="1"/>
    <col min="17" max="17" width="18" customWidth="1"/>
    <col min="18" max="18" width="20" customWidth="1"/>
    <col min="19" max="19" width="14" customWidth="1"/>
    <col min="20" max="20" width="12" customWidth="1"/>
    <col min="21" max="21" width="16" customWidth="1"/>
    <col min="22" max="22" width="38" customWidth="1"/>
    <col min="23" max="23" width="55" customWidth="1"/>
  </cols>
  <sheetData>
    <row r="1" spans="1:25" ht="17.399999999999999" customHeight="1" x14ac:dyDescent="0.3">
      <c r="A1" s="1" t="s">
        <v>57</v>
      </c>
    </row>
    <row r="2" spans="1:25" ht="15" customHeight="1" x14ac:dyDescent="0.3">
      <c r="A2" s="2" t="s">
        <v>58</v>
      </c>
    </row>
    <row r="4" spans="1:25" s="27" customFormat="1" ht="28.05" customHeight="1" x14ac:dyDescent="0.3">
      <c r="A4" s="8" t="s">
        <v>59</v>
      </c>
      <c r="B4" s="8" t="s">
        <v>60</v>
      </c>
      <c r="C4" s="8" t="s">
        <v>61</v>
      </c>
      <c r="D4" s="8" t="s">
        <v>62</v>
      </c>
      <c r="E4" s="8" t="s">
        <v>63</v>
      </c>
      <c r="F4" s="8" t="s">
        <v>64</v>
      </c>
      <c r="G4" s="8" t="s">
        <v>65</v>
      </c>
      <c r="H4" s="8" t="s">
        <v>66</v>
      </c>
      <c r="I4" s="8" t="s">
        <v>67</v>
      </c>
      <c r="J4" s="8" t="s">
        <v>68</v>
      </c>
      <c r="K4" s="8" t="s">
        <v>69</v>
      </c>
      <c r="L4" s="8" t="s">
        <v>70</v>
      </c>
      <c r="M4" s="8" t="s">
        <v>71</v>
      </c>
      <c r="N4" s="8" t="s">
        <v>72</v>
      </c>
      <c r="O4" s="8" t="s">
        <v>73</v>
      </c>
      <c r="P4" s="8" t="s">
        <v>74</v>
      </c>
      <c r="Q4" s="8" t="s">
        <v>13</v>
      </c>
      <c r="R4" s="8" t="s">
        <v>75</v>
      </c>
      <c r="S4" s="8" t="s">
        <v>76</v>
      </c>
      <c r="T4" s="8" t="s">
        <v>77</v>
      </c>
      <c r="U4" s="8" t="s">
        <v>78</v>
      </c>
      <c r="V4" s="8" t="s">
        <v>79</v>
      </c>
      <c r="W4" s="8" t="s">
        <v>80</v>
      </c>
      <c r="X4" s="28"/>
      <c r="Y4" s="28"/>
    </row>
    <row r="5" spans="1:25" ht="52.05" customHeight="1" x14ac:dyDescent="0.3">
      <c r="A5" s="17" t="s">
        <v>81</v>
      </c>
      <c r="B5" s="18" t="s">
        <v>82</v>
      </c>
      <c r="C5" s="19" t="s">
        <v>83</v>
      </c>
      <c r="D5" s="18" t="s">
        <v>84</v>
      </c>
      <c r="E5" s="18" t="s">
        <v>85</v>
      </c>
      <c r="F5" s="18">
        <v>4</v>
      </c>
      <c r="G5" s="18">
        <v>5</v>
      </c>
      <c r="H5" s="18">
        <v>4</v>
      </c>
      <c r="I5" s="17">
        <f t="shared" ref="I5:I24" si="0">F5*G5</f>
        <v>20</v>
      </c>
      <c r="J5" s="19" t="s">
        <v>86</v>
      </c>
      <c r="K5" s="18" t="s">
        <v>87</v>
      </c>
      <c r="L5" s="18" t="s">
        <v>88</v>
      </c>
      <c r="M5" s="18">
        <v>2</v>
      </c>
      <c r="N5" s="18">
        <v>4</v>
      </c>
      <c r="O5" s="17">
        <f t="shared" ref="O5:O24" si="1">M5*N5</f>
        <v>8</v>
      </c>
      <c r="P5" s="19" t="s">
        <v>17</v>
      </c>
      <c r="Q5" s="20" t="s">
        <v>89</v>
      </c>
      <c r="R5" s="18" t="s">
        <v>90</v>
      </c>
      <c r="S5" s="18" t="s">
        <v>91</v>
      </c>
      <c r="T5" s="18" t="s">
        <v>92</v>
      </c>
      <c r="U5" s="18" t="s">
        <v>93</v>
      </c>
      <c r="V5" s="19" t="s">
        <v>94</v>
      </c>
      <c r="W5" s="19" t="s">
        <v>95</v>
      </c>
      <c r="X5" s="16"/>
      <c r="Y5" s="16"/>
    </row>
    <row r="6" spans="1:25" ht="52.05" customHeight="1" x14ac:dyDescent="0.3">
      <c r="A6" s="17" t="s">
        <v>96</v>
      </c>
      <c r="B6" s="18" t="s">
        <v>97</v>
      </c>
      <c r="C6" s="19" t="s">
        <v>98</v>
      </c>
      <c r="D6" s="18" t="s">
        <v>99</v>
      </c>
      <c r="E6" s="18" t="s">
        <v>100</v>
      </c>
      <c r="F6" s="18">
        <v>3</v>
      </c>
      <c r="G6" s="18">
        <v>5</v>
      </c>
      <c r="H6" s="18">
        <v>5</v>
      </c>
      <c r="I6" s="17">
        <f t="shared" si="0"/>
        <v>15</v>
      </c>
      <c r="J6" s="19" t="s">
        <v>101</v>
      </c>
      <c r="K6" s="18" t="s">
        <v>87</v>
      </c>
      <c r="L6" s="18" t="s">
        <v>88</v>
      </c>
      <c r="M6" s="18">
        <v>2</v>
      </c>
      <c r="N6" s="18">
        <v>4</v>
      </c>
      <c r="O6" s="17">
        <f t="shared" si="1"/>
        <v>8</v>
      </c>
      <c r="P6" s="19" t="s">
        <v>102</v>
      </c>
      <c r="Q6" s="20" t="s">
        <v>89</v>
      </c>
      <c r="R6" s="18" t="s">
        <v>103</v>
      </c>
      <c r="S6" s="18" t="s">
        <v>91</v>
      </c>
      <c r="T6" s="18" t="s">
        <v>104</v>
      </c>
      <c r="U6" s="18" t="s">
        <v>105</v>
      </c>
      <c r="V6" s="19" t="s">
        <v>106</v>
      </c>
      <c r="W6" s="19" t="s">
        <v>107</v>
      </c>
      <c r="X6" s="16"/>
      <c r="Y6" s="16"/>
    </row>
    <row r="7" spans="1:25" ht="52.05" customHeight="1" x14ac:dyDescent="0.3">
      <c r="A7" s="17" t="s">
        <v>108</v>
      </c>
      <c r="B7" s="18" t="s">
        <v>109</v>
      </c>
      <c r="C7" s="19" t="s">
        <v>110</v>
      </c>
      <c r="D7" s="18" t="s">
        <v>111</v>
      </c>
      <c r="E7" s="18" t="s">
        <v>112</v>
      </c>
      <c r="F7" s="18">
        <v>4</v>
      </c>
      <c r="G7" s="18">
        <v>4</v>
      </c>
      <c r="H7" s="18">
        <v>3</v>
      </c>
      <c r="I7" s="17">
        <f t="shared" si="0"/>
        <v>16</v>
      </c>
      <c r="J7" s="19" t="s">
        <v>113</v>
      </c>
      <c r="K7" s="18" t="s">
        <v>87</v>
      </c>
      <c r="L7" s="18" t="s">
        <v>88</v>
      </c>
      <c r="M7" s="18">
        <v>2</v>
      </c>
      <c r="N7" s="18">
        <v>3</v>
      </c>
      <c r="O7" s="17">
        <f t="shared" si="1"/>
        <v>6</v>
      </c>
      <c r="P7" s="19" t="s">
        <v>114</v>
      </c>
      <c r="Q7" s="20" t="s">
        <v>89</v>
      </c>
      <c r="R7" s="18" t="s">
        <v>90</v>
      </c>
      <c r="S7" s="18" t="s">
        <v>91</v>
      </c>
      <c r="T7" s="18" t="s">
        <v>115</v>
      </c>
      <c r="U7" s="18" t="s">
        <v>116</v>
      </c>
      <c r="V7" s="19" t="s">
        <v>117</v>
      </c>
      <c r="W7" s="19" t="s">
        <v>118</v>
      </c>
      <c r="X7" s="16"/>
      <c r="Y7" s="16"/>
    </row>
    <row r="8" spans="1:25" ht="52.05" customHeight="1" x14ac:dyDescent="0.3">
      <c r="A8" s="17" t="s">
        <v>119</v>
      </c>
      <c r="B8" s="18" t="s">
        <v>120</v>
      </c>
      <c r="C8" s="19" t="s">
        <v>121</v>
      </c>
      <c r="D8" s="18" t="s">
        <v>111</v>
      </c>
      <c r="E8" s="18" t="s">
        <v>112</v>
      </c>
      <c r="F8" s="18">
        <v>3</v>
      </c>
      <c r="G8" s="18">
        <v>5</v>
      </c>
      <c r="H8" s="18">
        <v>4</v>
      </c>
      <c r="I8" s="17">
        <f t="shared" si="0"/>
        <v>15</v>
      </c>
      <c r="J8" s="19" t="s">
        <v>122</v>
      </c>
      <c r="K8" s="18" t="s">
        <v>87</v>
      </c>
      <c r="L8" s="18" t="s">
        <v>88</v>
      </c>
      <c r="M8" s="18">
        <v>1</v>
      </c>
      <c r="N8" s="18">
        <v>4</v>
      </c>
      <c r="O8" s="17">
        <f t="shared" si="1"/>
        <v>4</v>
      </c>
      <c r="P8" s="19" t="s">
        <v>123</v>
      </c>
      <c r="Q8" s="20" t="s">
        <v>89</v>
      </c>
      <c r="R8" s="18" t="s">
        <v>90</v>
      </c>
      <c r="S8" s="18" t="s">
        <v>91</v>
      </c>
      <c r="T8" s="18" t="s">
        <v>124</v>
      </c>
      <c r="U8" s="18" t="s">
        <v>81</v>
      </c>
      <c r="V8" s="19" t="s">
        <v>106</v>
      </c>
      <c r="W8" s="19" t="s">
        <v>125</v>
      </c>
      <c r="X8" s="16"/>
      <c r="Y8" s="16"/>
    </row>
    <row r="9" spans="1:25" ht="52.05" customHeight="1" x14ac:dyDescent="0.3">
      <c r="A9" s="17" t="s">
        <v>126</v>
      </c>
      <c r="B9" s="18" t="s">
        <v>127</v>
      </c>
      <c r="C9" s="19" t="s">
        <v>128</v>
      </c>
      <c r="D9" s="18" t="s">
        <v>129</v>
      </c>
      <c r="E9" s="18" t="s">
        <v>130</v>
      </c>
      <c r="F9" s="18">
        <v>2</v>
      </c>
      <c r="G9" s="18">
        <v>5</v>
      </c>
      <c r="H9" s="18">
        <v>5</v>
      </c>
      <c r="I9" s="17">
        <f t="shared" si="0"/>
        <v>10</v>
      </c>
      <c r="J9" s="19" t="s">
        <v>131</v>
      </c>
      <c r="K9" s="18" t="s">
        <v>87</v>
      </c>
      <c r="L9" s="18" t="s">
        <v>88</v>
      </c>
      <c r="M9" s="18">
        <v>1</v>
      </c>
      <c r="N9" s="18">
        <v>5</v>
      </c>
      <c r="O9" s="17">
        <f t="shared" si="1"/>
        <v>5</v>
      </c>
      <c r="P9" s="19" t="s">
        <v>114</v>
      </c>
      <c r="Q9" s="21" t="s">
        <v>132</v>
      </c>
      <c r="R9" s="18" t="s">
        <v>133</v>
      </c>
      <c r="S9" s="18" t="s">
        <v>91</v>
      </c>
      <c r="T9" s="18" t="s">
        <v>134</v>
      </c>
      <c r="U9" s="18" t="s">
        <v>135</v>
      </c>
      <c r="V9" s="19" t="s">
        <v>136</v>
      </c>
      <c r="W9" s="19" t="s">
        <v>137</v>
      </c>
      <c r="X9" s="16"/>
      <c r="Y9" s="16"/>
    </row>
    <row r="10" spans="1:25" ht="52.05" customHeight="1" x14ac:dyDescent="0.3">
      <c r="A10" s="17" t="s">
        <v>138</v>
      </c>
      <c r="B10" s="18" t="s">
        <v>139</v>
      </c>
      <c r="C10" s="19" t="s">
        <v>140</v>
      </c>
      <c r="D10" s="18" t="s">
        <v>141</v>
      </c>
      <c r="E10" s="18" t="s">
        <v>142</v>
      </c>
      <c r="F10" s="18">
        <v>4</v>
      </c>
      <c r="G10" s="18">
        <v>2</v>
      </c>
      <c r="H10" s="18">
        <v>1</v>
      </c>
      <c r="I10" s="17">
        <f t="shared" si="0"/>
        <v>8</v>
      </c>
      <c r="J10" s="19" t="s">
        <v>143</v>
      </c>
      <c r="K10" s="18" t="s">
        <v>87</v>
      </c>
      <c r="L10" s="18" t="s">
        <v>88</v>
      </c>
      <c r="M10" s="18">
        <v>2</v>
      </c>
      <c r="N10" s="18">
        <v>2</v>
      </c>
      <c r="O10" s="17">
        <f t="shared" si="1"/>
        <v>4</v>
      </c>
      <c r="P10" s="19" t="s">
        <v>17</v>
      </c>
      <c r="Q10" s="20" t="s">
        <v>89</v>
      </c>
      <c r="R10" s="18" t="s">
        <v>91</v>
      </c>
      <c r="S10" s="18" t="s">
        <v>91</v>
      </c>
      <c r="T10" s="18" t="s">
        <v>124</v>
      </c>
      <c r="U10" s="18" t="s">
        <v>144</v>
      </c>
      <c r="V10" s="19" t="s">
        <v>145</v>
      </c>
      <c r="W10" s="19" t="s">
        <v>146</v>
      </c>
      <c r="X10" s="16"/>
      <c r="Y10" s="16"/>
    </row>
    <row r="11" spans="1:25" ht="52.05" customHeight="1" x14ac:dyDescent="0.3">
      <c r="A11" s="17" t="s">
        <v>147</v>
      </c>
      <c r="B11" s="18" t="s">
        <v>148</v>
      </c>
      <c r="C11" s="19" t="s">
        <v>149</v>
      </c>
      <c r="D11" s="18" t="s">
        <v>150</v>
      </c>
      <c r="E11" s="18" t="s">
        <v>151</v>
      </c>
      <c r="F11" s="18">
        <v>3</v>
      </c>
      <c r="G11" s="18">
        <v>4</v>
      </c>
      <c r="H11" s="18">
        <v>4</v>
      </c>
      <c r="I11" s="17">
        <f t="shared" si="0"/>
        <v>12</v>
      </c>
      <c r="J11" s="19" t="s">
        <v>152</v>
      </c>
      <c r="K11" s="18" t="s">
        <v>87</v>
      </c>
      <c r="L11" s="18" t="s">
        <v>153</v>
      </c>
      <c r="M11" s="18">
        <v>2</v>
      </c>
      <c r="N11" s="18">
        <v>4</v>
      </c>
      <c r="O11" s="17">
        <f t="shared" si="1"/>
        <v>8</v>
      </c>
      <c r="P11" s="19" t="s">
        <v>17</v>
      </c>
      <c r="Q11" s="22" t="s">
        <v>154</v>
      </c>
      <c r="R11" s="18" t="s">
        <v>155</v>
      </c>
      <c r="S11" s="18" t="s">
        <v>91</v>
      </c>
      <c r="T11" s="18" t="s">
        <v>156</v>
      </c>
      <c r="U11" s="18" t="s">
        <v>157</v>
      </c>
      <c r="V11" s="19" t="s">
        <v>158</v>
      </c>
      <c r="W11" s="19" t="s">
        <v>159</v>
      </c>
      <c r="X11" s="16"/>
      <c r="Y11" s="16"/>
    </row>
    <row r="12" spans="1:25" ht="52.05" customHeight="1" x14ac:dyDescent="0.3">
      <c r="A12" s="17" t="s">
        <v>160</v>
      </c>
      <c r="B12" s="18" t="s">
        <v>161</v>
      </c>
      <c r="C12" s="19" t="s">
        <v>162</v>
      </c>
      <c r="D12" s="18" t="s">
        <v>163</v>
      </c>
      <c r="E12" s="18" t="s">
        <v>164</v>
      </c>
      <c r="F12" s="18">
        <v>3</v>
      </c>
      <c r="G12" s="18">
        <v>5</v>
      </c>
      <c r="H12" s="18">
        <v>4</v>
      </c>
      <c r="I12" s="17">
        <f t="shared" si="0"/>
        <v>15</v>
      </c>
      <c r="J12" s="19" t="s">
        <v>165</v>
      </c>
      <c r="K12" s="18" t="s">
        <v>87</v>
      </c>
      <c r="L12" s="18" t="s">
        <v>88</v>
      </c>
      <c r="M12" s="18">
        <v>3</v>
      </c>
      <c r="N12" s="18">
        <v>4</v>
      </c>
      <c r="O12" s="17">
        <f t="shared" si="1"/>
        <v>12</v>
      </c>
      <c r="P12" s="19" t="s">
        <v>166</v>
      </c>
      <c r="Q12" s="21" t="s">
        <v>132</v>
      </c>
      <c r="R12" s="18" t="s">
        <v>133</v>
      </c>
      <c r="S12" s="18" t="s">
        <v>91</v>
      </c>
      <c r="T12" s="18" t="s">
        <v>167</v>
      </c>
      <c r="U12" s="18" t="s">
        <v>168</v>
      </c>
      <c r="V12" s="19" t="s">
        <v>117</v>
      </c>
      <c r="W12" s="19" t="s">
        <v>169</v>
      </c>
      <c r="X12" s="16"/>
      <c r="Y12" s="16"/>
    </row>
    <row r="13" spans="1:25" ht="52.05" customHeight="1" x14ac:dyDescent="0.3">
      <c r="A13" s="17" t="s">
        <v>170</v>
      </c>
      <c r="B13" s="18" t="s">
        <v>97</v>
      </c>
      <c r="C13" s="19" t="s">
        <v>171</v>
      </c>
      <c r="D13" s="18" t="s">
        <v>172</v>
      </c>
      <c r="E13" s="18" t="s">
        <v>173</v>
      </c>
      <c r="F13" s="18">
        <v>3</v>
      </c>
      <c r="G13" s="18">
        <v>4</v>
      </c>
      <c r="H13" s="18">
        <v>3</v>
      </c>
      <c r="I13" s="17">
        <f t="shared" si="0"/>
        <v>12</v>
      </c>
      <c r="J13" s="19" t="s">
        <v>174</v>
      </c>
      <c r="K13" s="18" t="s">
        <v>87</v>
      </c>
      <c r="L13" s="18" t="s">
        <v>88</v>
      </c>
      <c r="M13" s="18">
        <v>2</v>
      </c>
      <c r="N13" s="18">
        <v>3</v>
      </c>
      <c r="O13" s="17">
        <f t="shared" si="1"/>
        <v>6</v>
      </c>
      <c r="P13" s="19" t="s">
        <v>17</v>
      </c>
      <c r="Q13" s="21" t="s">
        <v>132</v>
      </c>
      <c r="R13" s="18" t="s">
        <v>133</v>
      </c>
      <c r="S13" s="18" t="s">
        <v>91</v>
      </c>
      <c r="T13" s="18" t="s">
        <v>175</v>
      </c>
      <c r="U13" s="18" t="s">
        <v>176</v>
      </c>
      <c r="V13" s="19" t="s">
        <v>117</v>
      </c>
      <c r="W13" s="19" t="s">
        <v>177</v>
      </c>
      <c r="X13" s="16"/>
      <c r="Y13" s="16"/>
    </row>
    <row r="14" spans="1:25" ht="52.05" customHeight="1" x14ac:dyDescent="0.3">
      <c r="A14" s="17" t="s">
        <v>178</v>
      </c>
      <c r="B14" s="18" t="s">
        <v>179</v>
      </c>
      <c r="C14" s="19" t="s">
        <v>180</v>
      </c>
      <c r="D14" s="18" t="s">
        <v>181</v>
      </c>
      <c r="E14" s="18" t="s">
        <v>182</v>
      </c>
      <c r="F14" s="18">
        <v>3</v>
      </c>
      <c r="G14" s="18">
        <v>4</v>
      </c>
      <c r="H14" s="18">
        <v>3</v>
      </c>
      <c r="I14" s="17">
        <f t="shared" si="0"/>
        <v>12</v>
      </c>
      <c r="J14" s="19" t="s">
        <v>183</v>
      </c>
      <c r="K14" s="18" t="s">
        <v>87</v>
      </c>
      <c r="L14" s="18" t="s">
        <v>88</v>
      </c>
      <c r="M14" s="18">
        <v>2</v>
      </c>
      <c r="N14" s="18">
        <v>3</v>
      </c>
      <c r="O14" s="17">
        <f t="shared" si="1"/>
        <v>6</v>
      </c>
      <c r="P14" s="19" t="s">
        <v>184</v>
      </c>
      <c r="Q14" s="22" t="s">
        <v>154</v>
      </c>
      <c r="R14" s="18" t="s">
        <v>185</v>
      </c>
      <c r="S14" s="18" t="s">
        <v>91</v>
      </c>
      <c r="T14" s="18" t="s">
        <v>124</v>
      </c>
      <c r="U14" s="18" t="s">
        <v>186</v>
      </c>
      <c r="V14" s="19" t="s">
        <v>145</v>
      </c>
      <c r="W14" s="19" t="s">
        <v>187</v>
      </c>
      <c r="X14" s="16"/>
      <c r="Y14" s="16"/>
    </row>
    <row r="15" spans="1:25" ht="52.05" customHeight="1" x14ac:dyDescent="0.3">
      <c r="A15" s="17" t="s">
        <v>188</v>
      </c>
      <c r="B15" s="18" t="s">
        <v>189</v>
      </c>
      <c r="C15" s="19" t="s">
        <v>190</v>
      </c>
      <c r="D15" s="18" t="s">
        <v>191</v>
      </c>
      <c r="E15" s="18" t="s">
        <v>192</v>
      </c>
      <c r="F15" s="18">
        <v>3</v>
      </c>
      <c r="G15" s="18">
        <v>5</v>
      </c>
      <c r="H15" s="18">
        <v>5</v>
      </c>
      <c r="I15" s="17">
        <f t="shared" si="0"/>
        <v>15</v>
      </c>
      <c r="J15" s="19" t="s">
        <v>193</v>
      </c>
      <c r="K15" s="18" t="s">
        <v>87</v>
      </c>
      <c r="L15" s="18" t="s">
        <v>88</v>
      </c>
      <c r="M15" s="18">
        <v>1</v>
      </c>
      <c r="N15" s="18">
        <v>5</v>
      </c>
      <c r="O15" s="17">
        <f t="shared" si="1"/>
        <v>5</v>
      </c>
      <c r="P15" s="19" t="s">
        <v>17</v>
      </c>
      <c r="Q15" s="20" t="s">
        <v>89</v>
      </c>
      <c r="R15" s="18" t="s">
        <v>194</v>
      </c>
      <c r="S15" s="18" t="s">
        <v>91</v>
      </c>
      <c r="T15" s="18" t="s">
        <v>195</v>
      </c>
      <c r="U15" s="18" t="s">
        <v>196</v>
      </c>
      <c r="V15" s="19" t="s">
        <v>197</v>
      </c>
      <c r="W15" s="19" t="s">
        <v>198</v>
      </c>
      <c r="X15" s="16"/>
      <c r="Y15" s="16"/>
    </row>
    <row r="16" spans="1:25" ht="52.05" customHeight="1" x14ac:dyDescent="0.3">
      <c r="A16" s="17" t="s">
        <v>199</v>
      </c>
      <c r="B16" s="18" t="s">
        <v>200</v>
      </c>
      <c r="C16" s="19" t="s">
        <v>201</v>
      </c>
      <c r="D16" s="18" t="s">
        <v>202</v>
      </c>
      <c r="E16" s="18" t="s">
        <v>203</v>
      </c>
      <c r="F16" s="18">
        <v>3</v>
      </c>
      <c r="G16" s="18">
        <v>4</v>
      </c>
      <c r="H16" s="18">
        <v>4</v>
      </c>
      <c r="I16" s="17">
        <f t="shared" si="0"/>
        <v>12</v>
      </c>
      <c r="J16" s="19" t="s">
        <v>204</v>
      </c>
      <c r="K16" s="18" t="s">
        <v>205</v>
      </c>
      <c r="L16" s="18" t="s">
        <v>153</v>
      </c>
      <c r="M16" s="18">
        <v>3</v>
      </c>
      <c r="N16" s="18">
        <v>4</v>
      </c>
      <c r="O16" s="17">
        <f t="shared" si="1"/>
        <v>12</v>
      </c>
      <c r="P16" s="19" t="s">
        <v>17</v>
      </c>
      <c r="Q16" s="22" t="s">
        <v>206</v>
      </c>
      <c r="R16" s="18" t="s">
        <v>133</v>
      </c>
      <c r="S16" s="18" t="s">
        <v>91</v>
      </c>
      <c r="T16" s="18" t="s">
        <v>207</v>
      </c>
      <c r="U16" s="18" t="s">
        <v>208</v>
      </c>
      <c r="V16" s="19" t="s">
        <v>209</v>
      </c>
      <c r="W16" s="19" t="s">
        <v>210</v>
      </c>
      <c r="X16" s="16"/>
      <c r="Y16" s="16"/>
    </row>
    <row r="17" spans="1:25" ht="52.05" customHeight="1" x14ac:dyDescent="0.3">
      <c r="A17" s="17" t="s">
        <v>211</v>
      </c>
      <c r="B17" s="18" t="s">
        <v>212</v>
      </c>
      <c r="C17" s="19" t="s">
        <v>213</v>
      </c>
      <c r="D17" s="18" t="s">
        <v>202</v>
      </c>
      <c r="E17" s="18" t="s">
        <v>214</v>
      </c>
      <c r="F17" s="18">
        <v>3</v>
      </c>
      <c r="G17" s="18">
        <v>4</v>
      </c>
      <c r="H17" s="18">
        <v>4</v>
      </c>
      <c r="I17" s="17">
        <f t="shared" si="0"/>
        <v>12</v>
      </c>
      <c r="J17" s="19" t="s">
        <v>215</v>
      </c>
      <c r="K17" s="18" t="s">
        <v>87</v>
      </c>
      <c r="L17" s="18" t="s">
        <v>88</v>
      </c>
      <c r="M17" s="18">
        <v>1</v>
      </c>
      <c r="N17" s="18">
        <v>4</v>
      </c>
      <c r="O17" s="17">
        <f t="shared" si="1"/>
        <v>4</v>
      </c>
      <c r="P17" s="19" t="s">
        <v>123</v>
      </c>
      <c r="Q17" s="20" t="s">
        <v>89</v>
      </c>
      <c r="R17" s="18" t="s">
        <v>90</v>
      </c>
      <c r="S17" s="18" t="s">
        <v>91</v>
      </c>
      <c r="T17" s="18" t="s">
        <v>124</v>
      </c>
      <c r="U17" s="18" t="s">
        <v>216</v>
      </c>
      <c r="V17" s="19" t="s">
        <v>106</v>
      </c>
      <c r="W17" s="19" t="s">
        <v>217</v>
      </c>
      <c r="X17" s="16"/>
      <c r="Y17" s="16"/>
    </row>
    <row r="18" spans="1:25" ht="52.05" customHeight="1" x14ac:dyDescent="0.3">
      <c r="A18" s="17" t="s">
        <v>218</v>
      </c>
      <c r="B18" s="18" t="s">
        <v>219</v>
      </c>
      <c r="C18" s="19" t="s">
        <v>220</v>
      </c>
      <c r="D18" s="18" t="s">
        <v>221</v>
      </c>
      <c r="E18" s="18" t="s">
        <v>222</v>
      </c>
      <c r="F18" s="18">
        <v>2</v>
      </c>
      <c r="G18" s="18">
        <v>4</v>
      </c>
      <c r="H18" s="18">
        <v>3</v>
      </c>
      <c r="I18" s="17">
        <f t="shared" si="0"/>
        <v>8</v>
      </c>
      <c r="J18" s="19" t="s">
        <v>223</v>
      </c>
      <c r="K18" s="18" t="s">
        <v>87</v>
      </c>
      <c r="L18" s="18" t="s">
        <v>88</v>
      </c>
      <c r="M18" s="18">
        <v>2</v>
      </c>
      <c r="N18" s="18">
        <v>3</v>
      </c>
      <c r="O18" s="17">
        <f t="shared" si="1"/>
        <v>6</v>
      </c>
      <c r="P18" s="19" t="s">
        <v>17</v>
      </c>
      <c r="Q18" s="21" t="s">
        <v>132</v>
      </c>
      <c r="R18" s="18" t="s">
        <v>133</v>
      </c>
      <c r="S18" s="18" t="s">
        <v>91</v>
      </c>
      <c r="T18" s="18" t="s">
        <v>124</v>
      </c>
      <c r="U18" s="18" t="s">
        <v>224</v>
      </c>
      <c r="V18" s="19" t="s">
        <v>117</v>
      </c>
      <c r="W18" s="19" t="s">
        <v>225</v>
      </c>
      <c r="X18" s="16"/>
      <c r="Y18" s="16"/>
    </row>
    <row r="19" spans="1:25" ht="52.05" customHeight="1" x14ac:dyDescent="0.3">
      <c r="A19" s="17" t="s">
        <v>226</v>
      </c>
      <c r="B19" s="18" t="s">
        <v>227</v>
      </c>
      <c r="C19" s="19" t="s">
        <v>228</v>
      </c>
      <c r="D19" s="18" t="s">
        <v>202</v>
      </c>
      <c r="E19" s="18" t="s">
        <v>229</v>
      </c>
      <c r="F19" s="18">
        <v>3</v>
      </c>
      <c r="G19" s="18">
        <v>5</v>
      </c>
      <c r="H19" s="18">
        <v>4</v>
      </c>
      <c r="I19" s="17">
        <f t="shared" si="0"/>
        <v>15</v>
      </c>
      <c r="J19" s="19" t="s">
        <v>230</v>
      </c>
      <c r="K19" s="18" t="s">
        <v>87</v>
      </c>
      <c r="L19" s="18" t="s">
        <v>88</v>
      </c>
      <c r="M19" s="18">
        <v>2</v>
      </c>
      <c r="N19" s="18">
        <v>4</v>
      </c>
      <c r="O19" s="17">
        <f t="shared" si="1"/>
        <v>8</v>
      </c>
      <c r="P19" s="19" t="s">
        <v>231</v>
      </c>
      <c r="Q19" s="21" t="s">
        <v>132</v>
      </c>
      <c r="R19" s="18" t="s">
        <v>133</v>
      </c>
      <c r="S19" s="18" t="s">
        <v>91</v>
      </c>
      <c r="T19" s="18" t="s">
        <v>232</v>
      </c>
      <c r="U19" s="18" t="s">
        <v>233</v>
      </c>
      <c r="V19" s="19" t="s">
        <v>234</v>
      </c>
      <c r="W19" s="19" t="s">
        <v>235</v>
      </c>
      <c r="X19" s="16"/>
      <c r="Y19" s="16"/>
    </row>
    <row r="20" spans="1:25" ht="52.05" customHeight="1" x14ac:dyDescent="0.3">
      <c r="A20" s="17" t="s">
        <v>236</v>
      </c>
      <c r="B20" s="18" t="s">
        <v>227</v>
      </c>
      <c r="C20" s="19" t="s">
        <v>237</v>
      </c>
      <c r="D20" s="18" t="s">
        <v>202</v>
      </c>
      <c r="E20" s="18" t="s">
        <v>229</v>
      </c>
      <c r="F20" s="18">
        <v>3</v>
      </c>
      <c r="G20" s="18">
        <v>4</v>
      </c>
      <c r="H20" s="18">
        <v>4</v>
      </c>
      <c r="I20" s="17">
        <f t="shared" si="0"/>
        <v>12</v>
      </c>
      <c r="J20" s="19" t="s">
        <v>238</v>
      </c>
      <c r="K20" s="18" t="s">
        <v>87</v>
      </c>
      <c r="L20" s="18" t="s">
        <v>88</v>
      </c>
      <c r="M20" s="18">
        <v>2</v>
      </c>
      <c r="N20" s="18">
        <v>4</v>
      </c>
      <c r="O20" s="17">
        <f t="shared" si="1"/>
        <v>8</v>
      </c>
      <c r="P20" s="19" t="s">
        <v>231</v>
      </c>
      <c r="Q20" s="20" t="s">
        <v>89</v>
      </c>
      <c r="R20" s="18" t="s">
        <v>90</v>
      </c>
      <c r="S20" s="18" t="s">
        <v>91</v>
      </c>
      <c r="T20" s="18" t="s">
        <v>239</v>
      </c>
      <c r="U20" s="18" t="s">
        <v>240</v>
      </c>
      <c r="V20" s="19" t="s">
        <v>117</v>
      </c>
      <c r="W20" s="19" t="s">
        <v>241</v>
      </c>
      <c r="X20" s="16"/>
      <c r="Y20" s="16"/>
    </row>
    <row r="21" spans="1:25" ht="52.05" customHeight="1" x14ac:dyDescent="0.3">
      <c r="A21" s="17" t="s">
        <v>242</v>
      </c>
      <c r="B21" s="18" t="s">
        <v>227</v>
      </c>
      <c r="C21" s="19" t="s">
        <v>243</v>
      </c>
      <c r="D21" s="18" t="s">
        <v>163</v>
      </c>
      <c r="E21" s="18" t="s">
        <v>244</v>
      </c>
      <c r="F21" s="18">
        <v>3</v>
      </c>
      <c r="G21" s="18">
        <v>4</v>
      </c>
      <c r="H21" s="18">
        <v>4</v>
      </c>
      <c r="I21" s="17">
        <f t="shared" si="0"/>
        <v>12</v>
      </c>
      <c r="J21" s="19" t="s">
        <v>245</v>
      </c>
      <c r="K21" s="18" t="s">
        <v>87</v>
      </c>
      <c r="L21" s="18" t="s">
        <v>88</v>
      </c>
      <c r="M21" s="18">
        <v>3</v>
      </c>
      <c r="N21" s="18">
        <v>4</v>
      </c>
      <c r="O21" s="17">
        <f t="shared" si="1"/>
        <v>12</v>
      </c>
      <c r="P21" s="19" t="s">
        <v>231</v>
      </c>
      <c r="Q21" s="21" t="s">
        <v>132</v>
      </c>
      <c r="R21" s="18" t="s">
        <v>133</v>
      </c>
      <c r="S21" s="18" t="s">
        <v>91</v>
      </c>
      <c r="T21" s="18" t="s">
        <v>246</v>
      </c>
      <c r="U21" s="18" t="s">
        <v>247</v>
      </c>
      <c r="V21" s="19" t="s">
        <v>117</v>
      </c>
      <c r="W21" s="19" t="s">
        <v>248</v>
      </c>
      <c r="X21" s="16"/>
      <c r="Y21" s="16"/>
    </row>
    <row r="22" spans="1:25" ht="52.05" customHeight="1" x14ac:dyDescent="0.3">
      <c r="A22" s="17" t="s">
        <v>249</v>
      </c>
      <c r="B22" s="18" t="s">
        <v>227</v>
      </c>
      <c r="C22" s="19" t="s">
        <v>250</v>
      </c>
      <c r="D22" s="18" t="s">
        <v>251</v>
      </c>
      <c r="E22" s="18" t="s">
        <v>252</v>
      </c>
      <c r="F22" s="18">
        <v>4</v>
      </c>
      <c r="G22" s="18">
        <v>4</v>
      </c>
      <c r="H22" s="18">
        <v>4</v>
      </c>
      <c r="I22" s="17">
        <f t="shared" si="0"/>
        <v>16</v>
      </c>
      <c r="J22" s="19" t="s">
        <v>253</v>
      </c>
      <c r="K22" s="18" t="s">
        <v>87</v>
      </c>
      <c r="L22" s="18" t="s">
        <v>88</v>
      </c>
      <c r="M22" s="18">
        <v>3</v>
      </c>
      <c r="N22" s="18">
        <v>4</v>
      </c>
      <c r="O22" s="17">
        <f t="shared" si="1"/>
        <v>12</v>
      </c>
      <c r="P22" s="19" t="s">
        <v>231</v>
      </c>
      <c r="Q22" s="21" t="s">
        <v>132</v>
      </c>
      <c r="R22" s="18" t="s">
        <v>133</v>
      </c>
      <c r="S22" s="18" t="s">
        <v>91</v>
      </c>
      <c r="T22" s="18" t="s">
        <v>254</v>
      </c>
      <c r="U22" s="18" t="s">
        <v>255</v>
      </c>
      <c r="V22" s="19" t="s">
        <v>117</v>
      </c>
      <c r="W22" s="19" t="s">
        <v>256</v>
      </c>
      <c r="X22" s="16"/>
      <c r="Y22" s="16"/>
    </row>
    <row r="23" spans="1:25" ht="52.05" customHeight="1" x14ac:dyDescent="0.3">
      <c r="A23" s="17" t="s">
        <v>257</v>
      </c>
      <c r="B23" s="18" t="s">
        <v>227</v>
      </c>
      <c r="C23" s="19" t="s">
        <v>258</v>
      </c>
      <c r="D23" s="18" t="s">
        <v>163</v>
      </c>
      <c r="E23" s="18" t="s">
        <v>259</v>
      </c>
      <c r="F23" s="18">
        <v>3</v>
      </c>
      <c r="G23" s="18">
        <v>3</v>
      </c>
      <c r="H23" s="18">
        <v>2</v>
      </c>
      <c r="I23" s="17">
        <f t="shared" si="0"/>
        <v>9</v>
      </c>
      <c r="J23" s="19" t="s">
        <v>260</v>
      </c>
      <c r="K23" s="18" t="s">
        <v>87</v>
      </c>
      <c r="L23" s="18" t="s">
        <v>88</v>
      </c>
      <c r="M23" s="18">
        <v>2</v>
      </c>
      <c r="N23" s="18">
        <v>3</v>
      </c>
      <c r="O23" s="17">
        <f t="shared" si="1"/>
        <v>6</v>
      </c>
      <c r="P23" s="19" t="s">
        <v>114</v>
      </c>
      <c r="Q23" s="21" t="s">
        <v>132</v>
      </c>
      <c r="R23" s="18" t="s">
        <v>133</v>
      </c>
      <c r="S23" s="18" t="s">
        <v>91</v>
      </c>
      <c r="T23" s="18" t="s">
        <v>261</v>
      </c>
      <c r="U23" s="18" t="s">
        <v>108</v>
      </c>
      <c r="V23" s="19" t="s">
        <v>262</v>
      </c>
      <c r="W23" s="19" t="s">
        <v>263</v>
      </c>
      <c r="X23" s="16"/>
      <c r="Y23" s="16"/>
    </row>
    <row r="24" spans="1:25" ht="52.05" customHeight="1" x14ac:dyDescent="0.3">
      <c r="A24" s="17" t="s">
        <v>144</v>
      </c>
      <c r="B24" s="18" t="s">
        <v>139</v>
      </c>
      <c r="C24" s="19" t="s">
        <v>264</v>
      </c>
      <c r="D24" s="18" t="s">
        <v>221</v>
      </c>
      <c r="E24" s="18" t="s">
        <v>265</v>
      </c>
      <c r="F24" s="18">
        <v>3</v>
      </c>
      <c r="G24" s="18">
        <v>3</v>
      </c>
      <c r="H24" s="18">
        <v>2</v>
      </c>
      <c r="I24" s="17">
        <f t="shared" si="0"/>
        <v>9</v>
      </c>
      <c r="J24" s="19" t="s">
        <v>266</v>
      </c>
      <c r="K24" s="18" t="s">
        <v>87</v>
      </c>
      <c r="L24" s="18" t="s">
        <v>88</v>
      </c>
      <c r="M24" s="18">
        <v>2</v>
      </c>
      <c r="N24" s="18">
        <v>3</v>
      </c>
      <c r="O24" s="17">
        <f t="shared" si="1"/>
        <v>6</v>
      </c>
      <c r="P24" s="19" t="s">
        <v>267</v>
      </c>
      <c r="Q24" s="21" t="s">
        <v>132</v>
      </c>
      <c r="R24" s="18" t="s">
        <v>133</v>
      </c>
      <c r="S24" s="18" t="s">
        <v>91</v>
      </c>
      <c r="T24" s="18" t="s">
        <v>124</v>
      </c>
      <c r="U24" s="18" t="s">
        <v>138</v>
      </c>
      <c r="V24" s="19" t="s">
        <v>268</v>
      </c>
      <c r="W24" s="19" t="s">
        <v>269</v>
      </c>
      <c r="X24" s="16"/>
      <c r="Y24" s="16"/>
    </row>
    <row r="25" spans="1:25"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row>
    <row r="26" spans="1:25" ht="15" customHeight="1" x14ac:dyDescent="0.3">
      <c r="A26" s="23" t="s">
        <v>270</v>
      </c>
      <c r="B26" s="16"/>
      <c r="C26" s="16"/>
      <c r="D26" s="16"/>
      <c r="E26" s="16"/>
      <c r="F26" s="16"/>
      <c r="G26" s="16"/>
      <c r="H26" s="16"/>
      <c r="I26" s="16"/>
      <c r="J26" s="16"/>
      <c r="K26" s="16"/>
      <c r="L26" s="16"/>
      <c r="M26" s="16"/>
      <c r="N26" s="16"/>
      <c r="O26" s="16"/>
      <c r="P26" s="16"/>
      <c r="Q26" s="16"/>
      <c r="R26" s="16"/>
      <c r="S26" s="16"/>
      <c r="T26" s="16"/>
      <c r="U26" s="16"/>
      <c r="V26" s="16"/>
      <c r="W26" s="16"/>
      <c r="X26" s="16"/>
      <c r="Y26" s="16"/>
    </row>
    <row r="27" spans="1:25" ht="15" customHeight="1" x14ac:dyDescent="0.3">
      <c r="A27" s="24" t="s">
        <v>271</v>
      </c>
      <c r="B27" s="25">
        <f>COUNTA(A5:A24)</f>
        <v>20</v>
      </c>
      <c r="C27" s="16"/>
      <c r="D27" s="16"/>
      <c r="E27" s="16"/>
      <c r="F27" s="16"/>
      <c r="G27" s="16"/>
      <c r="H27" s="16"/>
      <c r="I27" s="16"/>
      <c r="J27" s="16"/>
      <c r="K27" s="16"/>
      <c r="L27" s="16"/>
      <c r="M27" s="16"/>
      <c r="N27" s="16"/>
      <c r="O27" s="16"/>
      <c r="P27" s="16"/>
      <c r="Q27" s="16"/>
      <c r="R27" s="16"/>
      <c r="S27" s="16"/>
      <c r="T27" s="16"/>
      <c r="U27" s="16"/>
      <c r="V27" s="16"/>
      <c r="W27" s="16"/>
      <c r="X27" s="16"/>
      <c r="Y27" s="16"/>
    </row>
    <row r="28" spans="1:25" ht="15" customHeight="1" x14ac:dyDescent="0.3">
      <c r="A28" s="24" t="s">
        <v>272</v>
      </c>
      <c r="B28" s="25">
        <f>COUNTIF(B5:B24,"Scoring")</f>
        <v>5</v>
      </c>
      <c r="C28" s="16"/>
      <c r="D28" s="16"/>
      <c r="E28" s="16"/>
      <c r="F28" s="16"/>
      <c r="G28" s="16"/>
      <c r="H28" s="16"/>
      <c r="I28" s="16"/>
      <c r="J28" s="16"/>
      <c r="K28" s="16"/>
      <c r="L28" s="16"/>
      <c r="M28" s="16"/>
      <c r="N28" s="16"/>
      <c r="O28" s="16"/>
      <c r="P28" s="16"/>
      <c r="Q28" s="16"/>
      <c r="R28" s="16"/>
      <c r="S28" s="16"/>
      <c r="T28" s="16"/>
      <c r="U28" s="16"/>
      <c r="V28" s="16"/>
      <c r="W28" s="16"/>
      <c r="X28" s="16"/>
      <c r="Y28" s="16"/>
    </row>
    <row r="29" spans="1:25" ht="15" customHeight="1" x14ac:dyDescent="0.3">
      <c r="A29" s="24" t="s">
        <v>273</v>
      </c>
      <c r="B29" s="25">
        <f>COUNTIF(Q5:Q24,"CLOSED")</f>
        <v>8</v>
      </c>
      <c r="C29" s="16"/>
      <c r="D29" s="16"/>
      <c r="E29" s="16"/>
      <c r="F29" s="16"/>
      <c r="G29" s="16"/>
      <c r="H29" s="16"/>
      <c r="I29" s="16"/>
      <c r="J29" s="16"/>
      <c r="K29" s="16"/>
      <c r="L29" s="16"/>
      <c r="M29" s="16"/>
      <c r="N29" s="16"/>
      <c r="O29" s="16"/>
      <c r="P29" s="16"/>
      <c r="Q29" s="16"/>
      <c r="R29" s="16"/>
      <c r="S29" s="16"/>
      <c r="T29" s="16"/>
      <c r="U29" s="16"/>
      <c r="V29" s="16"/>
      <c r="W29" s="16"/>
      <c r="X29" s="16"/>
      <c r="Y29" s="16"/>
    </row>
    <row r="30" spans="1:25" ht="15" customHeight="1" x14ac:dyDescent="0.3">
      <c r="A30" s="24" t="s">
        <v>274</v>
      </c>
      <c r="B30" s="25">
        <f>COUNTA(Q5:Q24)-COUNTIF(Q5:Q24,"CLOSED")</f>
        <v>12</v>
      </c>
      <c r="C30" s="16"/>
      <c r="D30" s="16"/>
      <c r="E30" s="16"/>
      <c r="F30" s="16"/>
      <c r="G30" s="16"/>
      <c r="H30" s="16"/>
      <c r="I30" s="16"/>
      <c r="J30" s="16"/>
      <c r="K30" s="16"/>
      <c r="L30" s="16"/>
      <c r="M30" s="16"/>
      <c r="N30" s="16"/>
      <c r="O30" s="16"/>
      <c r="P30" s="16"/>
      <c r="Q30" s="16"/>
      <c r="R30" s="16"/>
      <c r="S30" s="16"/>
      <c r="T30" s="16"/>
      <c r="U30" s="16"/>
      <c r="V30" s="16"/>
      <c r="W30" s="16"/>
      <c r="X30" s="16"/>
      <c r="Y30" s="16"/>
    </row>
    <row r="31" spans="1:25" ht="15" customHeight="1" x14ac:dyDescent="0.3">
      <c r="A31" s="24" t="s">
        <v>275</v>
      </c>
      <c r="B31" s="25">
        <f>MAX(O5:O24)</f>
        <v>12</v>
      </c>
      <c r="C31" s="16"/>
      <c r="D31" s="16"/>
      <c r="E31" s="16"/>
      <c r="F31" s="16"/>
      <c r="G31" s="16"/>
      <c r="H31" s="16"/>
      <c r="I31" s="16"/>
      <c r="J31" s="16"/>
      <c r="K31" s="16"/>
      <c r="L31" s="16"/>
      <c r="M31" s="16"/>
      <c r="N31" s="16"/>
      <c r="O31" s="16"/>
      <c r="P31" s="16"/>
      <c r="Q31" s="16"/>
      <c r="R31" s="16"/>
      <c r="S31" s="16"/>
      <c r="T31" s="16"/>
      <c r="U31" s="16"/>
      <c r="V31" s="16"/>
      <c r="W31" s="16"/>
      <c r="X31" s="16"/>
      <c r="Y31" s="16"/>
    </row>
    <row r="32" spans="1:25" ht="15" customHeight="1" x14ac:dyDescent="0.3">
      <c r="A32" s="24" t="s">
        <v>276</v>
      </c>
      <c r="B32" s="25">
        <v>1</v>
      </c>
      <c r="C32" s="16"/>
      <c r="D32" s="16"/>
      <c r="E32" s="16"/>
      <c r="F32" s="16"/>
      <c r="G32" s="16"/>
      <c r="H32" s="16"/>
      <c r="I32" s="16"/>
      <c r="J32" s="16"/>
      <c r="K32" s="16"/>
      <c r="L32" s="16"/>
      <c r="M32" s="16"/>
      <c r="N32" s="16"/>
      <c r="O32" s="16"/>
      <c r="P32" s="16"/>
      <c r="Q32" s="16"/>
      <c r="R32" s="16"/>
      <c r="S32" s="16"/>
      <c r="T32" s="16"/>
      <c r="U32" s="16"/>
      <c r="V32" s="16"/>
      <c r="W32" s="16"/>
      <c r="X32" s="16"/>
      <c r="Y32" s="16"/>
    </row>
    <row r="33" spans="1:2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ht="15" customHeight="1" x14ac:dyDescent="0.3">
      <c r="A34" s="32" t="s">
        <v>277</v>
      </c>
      <c r="B34" s="30"/>
      <c r="C34" s="30"/>
      <c r="D34" s="30"/>
      <c r="E34" s="30"/>
      <c r="F34" s="30"/>
      <c r="G34" s="30"/>
      <c r="H34" s="30"/>
      <c r="I34" s="30"/>
      <c r="J34" s="30"/>
      <c r="K34" s="30"/>
      <c r="L34" s="30"/>
      <c r="M34" s="30"/>
      <c r="N34" s="30"/>
      <c r="O34" s="30"/>
      <c r="P34" s="30"/>
      <c r="Q34" s="30"/>
      <c r="R34" s="30"/>
      <c r="S34" s="30"/>
      <c r="T34" s="30"/>
      <c r="U34" s="30"/>
      <c r="V34" s="30"/>
      <c r="W34" s="30"/>
      <c r="X34" s="16"/>
      <c r="Y34" s="16"/>
    </row>
    <row r="35" spans="1:25" x14ac:dyDescent="0.3">
      <c r="A35" s="30"/>
      <c r="B35" s="30"/>
      <c r="C35" s="30"/>
      <c r="D35" s="30"/>
      <c r="E35" s="30"/>
      <c r="F35" s="30"/>
      <c r="G35" s="30"/>
      <c r="H35" s="30"/>
      <c r="I35" s="30"/>
      <c r="J35" s="30"/>
      <c r="K35" s="30"/>
      <c r="L35" s="30"/>
      <c r="M35" s="30"/>
      <c r="N35" s="30"/>
      <c r="O35" s="30"/>
      <c r="P35" s="30"/>
      <c r="Q35" s="30"/>
      <c r="R35" s="30"/>
      <c r="S35" s="30"/>
      <c r="T35" s="30"/>
      <c r="U35" s="30"/>
      <c r="V35" s="30"/>
      <c r="W35" s="30"/>
      <c r="X35" s="16"/>
      <c r="Y35" s="16"/>
    </row>
    <row r="36" spans="1:25" x14ac:dyDescent="0.3">
      <c r="A36" s="30"/>
      <c r="B36" s="30"/>
      <c r="C36" s="30"/>
      <c r="D36" s="30"/>
      <c r="E36" s="30"/>
      <c r="F36" s="30"/>
      <c r="G36" s="30"/>
      <c r="H36" s="30"/>
      <c r="I36" s="30"/>
      <c r="J36" s="30"/>
      <c r="K36" s="30"/>
      <c r="L36" s="30"/>
      <c r="M36" s="30"/>
      <c r="N36" s="30"/>
      <c r="O36" s="30"/>
      <c r="P36" s="30"/>
      <c r="Q36" s="30"/>
      <c r="R36" s="30"/>
      <c r="S36" s="30"/>
      <c r="T36" s="30"/>
      <c r="U36" s="30"/>
      <c r="V36" s="30"/>
      <c r="W36" s="30"/>
      <c r="X36" s="16"/>
      <c r="Y36" s="16"/>
    </row>
    <row r="37" spans="1:25"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spans="1:25"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spans="1:25"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spans="1:25"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spans="1:25"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spans="1:25"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spans="1:25"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spans="1:25"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sheetData>
  <autoFilter ref="A4:W24" xr:uid="{00000000-0009-0000-0000-000003000000}"/>
  <mergeCells count="1">
    <mergeCell ref="A34:W3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zoomScaleNormal="100" workbookViewId="0">
      <selection activeCell="A4" sqref="A4"/>
    </sheetView>
  </sheetViews>
  <sheetFormatPr defaultColWidth="8.6640625" defaultRowHeight="14.4" x14ac:dyDescent="0.3"/>
  <cols>
    <col min="1" max="1" width="26" customWidth="1"/>
    <col min="2" max="2" width="118" customWidth="1"/>
  </cols>
  <sheetData>
    <row r="1" spans="1:2" ht="17.399999999999999" customHeight="1" x14ac:dyDescent="0.3">
      <c r="A1" s="1" t="s">
        <v>358</v>
      </c>
    </row>
    <row r="2" spans="1:2" ht="15" customHeight="1" x14ac:dyDescent="0.3">
      <c r="A2" s="2" t="s">
        <v>278</v>
      </c>
    </row>
    <row r="4" spans="1:2" s="27" customFormat="1" ht="15" customHeight="1" x14ac:dyDescent="0.3">
      <c r="A4" s="26" t="s">
        <v>1</v>
      </c>
      <c r="B4" s="26" t="s">
        <v>2</v>
      </c>
    </row>
    <row r="5" spans="1:2" ht="57.75" customHeight="1" x14ac:dyDescent="0.3">
      <c r="A5" s="4" t="s">
        <v>63</v>
      </c>
      <c r="B5" s="4" t="s">
        <v>279</v>
      </c>
    </row>
    <row r="6" spans="1:2" ht="57.75" customHeight="1" x14ac:dyDescent="0.3">
      <c r="A6" s="4" t="s">
        <v>280</v>
      </c>
      <c r="B6" s="4" t="s">
        <v>281</v>
      </c>
    </row>
    <row r="7" spans="1:2" ht="57.75" customHeight="1" x14ac:dyDescent="0.3">
      <c r="A7" s="4" t="s">
        <v>282</v>
      </c>
      <c r="B7" s="4" t="s">
        <v>283</v>
      </c>
    </row>
    <row r="8" spans="1:2" ht="57.75" customHeight="1" x14ac:dyDescent="0.3">
      <c r="A8" s="4" t="s">
        <v>284</v>
      </c>
      <c r="B8" s="4" t="s">
        <v>285</v>
      </c>
    </row>
    <row r="9" spans="1:2" ht="57.75" customHeight="1" x14ac:dyDescent="0.3">
      <c r="A9" s="4" t="s">
        <v>286</v>
      </c>
      <c r="B9" s="4" t="s">
        <v>287</v>
      </c>
    </row>
    <row r="10" spans="1:2" ht="57.75" customHeight="1" x14ac:dyDescent="0.3">
      <c r="A10" s="4" t="s">
        <v>288</v>
      </c>
      <c r="B10" s="4" t="s">
        <v>289</v>
      </c>
    </row>
    <row r="11" spans="1:2" ht="57.75" customHeight="1" x14ac:dyDescent="0.3">
      <c r="A11" s="4" t="s">
        <v>290</v>
      </c>
      <c r="B11" s="4" t="s">
        <v>291</v>
      </c>
    </row>
    <row r="12" spans="1:2" ht="57.75" customHeight="1" x14ac:dyDescent="0.3">
      <c r="A12" s="4" t="s">
        <v>292</v>
      </c>
      <c r="B12" s="4" t="s">
        <v>293</v>
      </c>
    </row>
    <row r="13" spans="1:2" ht="57.75" customHeight="1" x14ac:dyDescent="0.3">
      <c r="A13" s="4" t="s">
        <v>294</v>
      </c>
      <c r="B13" s="4" t="s">
        <v>295</v>
      </c>
    </row>
    <row r="14" spans="1:2" ht="57.75" customHeight="1" x14ac:dyDescent="0.3">
      <c r="A14" s="4" t="s">
        <v>296</v>
      </c>
      <c r="B14" s="4" t="s">
        <v>297</v>
      </c>
    </row>
    <row r="15" spans="1:2" ht="57.75" customHeight="1" x14ac:dyDescent="0.3">
      <c r="A15" s="4" t="s">
        <v>298</v>
      </c>
      <c r="B15" s="4" t="s">
        <v>299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zoomScaleNormal="100" workbookViewId="0">
      <selection activeCell="A4" sqref="A4"/>
    </sheetView>
  </sheetViews>
  <sheetFormatPr defaultColWidth="8.6640625" defaultRowHeight="14.4" x14ac:dyDescent="0.3"/>
  <cols>
    <col min="1" max="1" width="10" customWidth="1"/>
    <col min="2" max="2" width="52" customWidth="1"/>
    <col min="3" max="3" width="66" customWidth="1"/>
  </cols>
  <sheetData>
    <row r="1" spans="1:3" ht="17.399999999999999" customHeight="1" x14ac:dyDescent="0.3">
      <c r="A1" s="1" t="s">
        <v>300</v>
      </c>
    </row>
    <row r="2" spans="1:3" ht="15" customHeight="1" x14ac:dyDescent="0.3">
      <c r="A2" s="2" t="s">
        <v>301</v>
      </c>
    </row>
    <row r="4" spans="1:3" s="27" customFormat="1" ht="15" customHeight="1" x14ac:dyDescent="0.3">
      <c r="A4" s="26" t="s">
        <v>302</v>
      </c>
      <c r="B4" s="26" t="s">
        <v>303</v>
      </c>
      <c r="C4" s="26" t="s">
        <v>304</v>
      </c>
    </row>
    <row r="5" spans="1:3" ht="31.5" customHeight="1" x14ac:dyDescent="0.3">
      <c r="A5" s="4" t="s">
        <v>305</v>
      </c>
      <c r="B5" s="4" t="s">
        <v>306</v>
      </c>
      <c r="C5" s="4" t="s">
        <v>307</v>
      </c>
    </row>
    <row r="6" spans="1:3" ht="31.5" customHeight="1" x14ac:dyDescent="0.3">
      <c r="A6" s="4" t="s">
        <v>308</v>
      </c>
      <c r="B6" s="4" t="s">
        <v>309</v>
      </c>
      <c r="C6" s="4" t="s">
        <v>310</v>
      </c>
    </row>
    <row r="7" spans="1:3" ht="31.5" customHeight="1" x14ac:dyDescent="0.3">
      <c r="A7" s="4" t="s">
        <v>311</v>
      </c>
      <c r="B7" s="4" t="s">
        <v>312</v>
      </c>
      <c r="C7" s="4" t="s">
        <v>313</v>
      </c>
    </row>
    <row r="8" spans="1:3" ht="31.5" customHeight="1" x14ac:dyDescent="0.3">
      <c r="A8" s="4" t="s">
        <v>314</v>
      </c>
      <c r="B8" s="4" t="s">
        <v>315</v>
      </c>
      <c r="C8" s="4" t="s">
        <v>316</v>
      </c>
    </row>
    <row r="9" spans="1:3" ht="31.5" customHeight="1" x14ac:dyDescent="0.3">
      <c r="A9" s="4" t="s">
        <v>317</v>
      </c>
      <c r="B9" s="4" t="s">
        <v>318</v>
      </c>
      <c r="C9" s="4" t="s">
        <v>319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
  <sheetViews>
    <sheetView zoomScaleNormal="100" workbookViewId="0">
      <selection activeCell="A4" sqref="A4"/>
    </sheetView>
  </sheetViews>
  <sheetFormatPr defaultColWidth="8.6640625" defaultRowHeight="14.4" x14ac:dyDescent="0.3"/>
  <cols>
    <col min="1" max="1" width="10" customWidth="1"/>
    <col min="2" max="2" width="42" customWidth="1"/>
    <col min="3" max="3" width="14" customWidth="1"/>
    <col min="4" max="4" width="22" customWidth="1"/>
    <col min="5" max="5" width="24" customWidth="1"/>
    <col min="6" max="6" width="70" customWidth="1"/>
  </cols>
  <sheetData>
    <row r="1" spans="1:6" ht="17.399999999999999" customHeight="1" x14ac:dyDescent="0.3">
      <c r="A1" s="1" t="s">
        <v>320</v>
      </c>
    </row>
    <row r="2" spans="1:6" ht="15" customHeight="1" x14ac:dyDescent="0.3">
      <c r="A2" s="2" t="s">
        <v>321</v>
      </c>
    </row>
    <row r="4" spans="1:6" s="27" customFormat="1" ht="15" customHeight="1" x14ac:dyDescent="0.3">
      <c r="A4" s="26" t="s">
        <v>322</v>
      </c>
      <c r="B4" s="26" t="s">
        <v>60</v>
      </c>
      <c r="C4" s="26" t="s">
        <v>323</v>
      </c>
      <c r="D4" s="26" t="s">
        <v>13</v>
      </c>
      <c r="E4" s="26" t="s">
        <v>324</v>
      </c>
      <c r="F4" s="26" t="s">
        <v>325</v>
      </c>
    </row>
    <row r="5" spans="1:6" ht="39.75" customHeight="1" x14ac:dyDescent="0.3">
      <c r="A5" s="6" t="s">
        <v>126</v>
      </c>
      <c r="B5" s="6" t="s">
        <v>326</v>
      </c>
      <c r="C5" s="6" t="s">
        <v>327</v>
      </c>
      <c r="D5" s="6" t="s">
        <v>132</v>
      </c>
      <c r="E5" s="6" t="s">
        <v>328</v>
      </c>
      <c r="F5" s="6" t="s">
        <v>329</v>
      </c>
    </row>
    <row r="6" spans="1:6" ht="39.75" customHeight="1" x14ac:dyDescent="0.3">
      <c r="A6" s="6" t="s">
        <v>188</v>
      </c>
      <c r="B6" s="6" t="s">
        <v>330</v>
      </c>
      <c r="C6" s="6" t="s">
        <v>327</v>
      </c>
      <c r="D6" s="6" t="s">
        <v>89</v>
      </c>
      <c r="E6" s="6" t="s">
        <v>328</v>
      </c>
      <c r="F6" s="6" t="s">
        <v>331</v>
      </c>
    </row>
    <row r="7" spans="1:6" ht="39.75" customHeight="1" x14ac:dyDescent="0.3">
      <c r="A7" s="6" t="s">
        <v>96</v>
      </c>
      <c r="B7" s="6" t="s">
        <v>332</v>
      </c>
      <c r="C7" s="6" t="s">
        <v>327</v>
      </c>
      <c r="D7" s="6" t="s">
        <v>89</v>
      </c>
      <c r="E7" s="6" t="s">
        <v>328</v>
      </c>
      <c r="F7" s="6" t="s">
        <v>333</v>
      </c>
    </row>
    <row r="8" spans="1:6" ht="39.75" customHeight="1" x14ac:dyDescent="0.3">
      <c r="A8" s="6" t="s">
        <v>147</v>
      </c>
      <c r="B8" s="6" t="s">
        <v>334</v>
      </c>
      <c r="C8" s="6" t="s">
        <v>327</v>
      </c>
      <c r="D8" s="6" t="s">
        <v>154</v>
      </c>
      <c r="E8" s="6" t="s">
        <v>328</v>
      </c>
      <c r="F8" s="6" t="s">
        <v>335</v>
      </c>
    </row>
    <row r="9" spans="1:6" ht="39.75" customHeight="1" x14ac:dyDescent="0.3">
      <c r="A9" s="6" t="s">
        <v>226</v>
      </c>
      <c r="B9" s="6" t="s">
        <v>336</v>
      </c>
      <c r="C9" s="6" t="s">
        <v>327</v>
      </c>
      <c r="D9" s="6" t="s">
        <v>132</v>
      </c>
      <c r="E9" s="6" t="s">
        <v>328</v>
      </c>
      <c r="F9" s="6" t="s">
        <v>337</v>
      </c>
    </row>
    <row r="10" spans="1:6" ht="39.75" customHeight="1" x14ac:dyDescent="0.3">
      <c r="A10" s="6" t="s">
        <v>211</v>
      </c>
      <c r="B10" s="6" t="s">
        <v>338</v>
      </c>
      <c r="C10" s="6" t="s">
        <v>327</v>
      </c>
      <c r="D10" s="6" t="s">
        <v>89</v>
      </c>
      <c r="E10" s="6" t="s">
        <v>328</v>
      </c>
      <c r="F10" s="6" t="s">
        <v>339</v>
      </c>
    </row>
    <row r="11" spans="1:6" ht="39.75" customHeight="1" x14ac:dyDescent="0.3">
      <c r="A11" s="5" t="s">
        <v>199</v>
      </c>
      <c r="B11" s="5" t="s">
        <v>340</v>
      </c>
      <c r="C11" s="5" t="s">
        <v>341</v>
      </c>
      <c r="D11" s="5" t="s">
        <v>206</v>
      </c>
      <c r="E11" s="5" t="s">
        <v>342</v>
      </c>
      <c r="F11" s="5" t="s">
        <v>343</v>
      </c>
    </row>
    <row r="12" spans="1:6" ht="39.75" customHeight="1" x14ac:dyDescent="0.3">
      <c r="A12" s="6" t="s">
        <v>160</v>
      </c>
      <c r="B12" s="6" t="s">
        <v>344</v>
      </c>
      <c r="C12" s="6" t="s">
        <v>341</v>
      </c>
      <c r="D12" s="6" t="s">
        <v>132</v>
      </c>
      <c r="E12" s="6" t="s">
        <v>345</v>
      </c>
      <c r="F12" s="6" t="s">
        <v>346</v>
      </c>
    </row>
    <row r="13" spans="1:6" ht="39.75" customHeight="1" x14ac:dyDescent="0.3">
      <c r="A13" s="6" t="s">
        <v>242</v>
      </c>
      <c r="B13" s="6" t="s">
        <v>347</v>
      </c>
      <c r="C13" s="6" t="s">
        <v>341</v>
      </c>
      <c r="D13" s="6" t="s">
        <v>132</v>
      </c>
      <c r="E13" s="6" t="s">
        <v>345</v>
      </c>
      <c r="F13" s="6" t="s">
        <v>348</v>
      </c>
    </row>
    <row r="14" spans="1:6" ht="39.75" customHeight="1" x14ac:dyDescent="0.3">
      <c r="A14" s="6" t="s">
        <v>249</v>
      </c>
      <c r="B14" s="6" t="s">
        <v>349</v>
      </c>
      <c r="C14" s="6" t="s">
        <v>341</v>
      </c>
      <c r="D14" s="6" t="s">
        <v>132</v>
      </c>
      <c r="E14" s="6" t="s">
        <v>345</v>
      </c>
      <c r="F14" s="6" t="s">
        <v>350</v>
      </c>
    </row>
    <row r="15" spans="1:6" ht="39.75" customHeight="1" x14ac:dyDescent="0.3">
      <c r="A15" s="6" t="s">
        <v>257</v>
      </c>
      <c r="B15" s="6" t="s">
        <v>351</v>
      </c>
      <c r="C15" s="6" t="s">
        <v>352</v>
      </c>
      <c r="D15" s="6" t="s">
        <v>132</v>
      </c>
      <c r="E15" s="6" t="s">
        <v>345</v>
      </c>
      <c r="F15" s="6" t="s">
        <v>353</v>
      </c>
    </row>
    <row r="16" spans="1:6" ht="39.75" customHeight="1" x14ac:dyDescent="0.3">
      <c r="A16" s="6" t="s">
        <v>144</v>
      </c>
      <c r="B16" s="6" t="s">
        <v>354</v>
      </c>
      <c r="C16" s="6" t="s">
        <v>352</v>
      </c>
      <c r="D16" s="6" t="s">
        <v>132</v>
      </c>
      <c r="E16" s="6" t="s">
        <v>345</v>
      </c>
      <c r="F16" s="6" t="s">
        <v>355</v>
      </c>
    </row>
    <row r="18" spans="1:1" ht="15" customHeight="1" x14ac:dyDescent="0.3">
      <c r="A18" s="2" t="s">
        <v>356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VERSION-CONTROL</vt:lpstr>
      <vt:lpstr>SUMMARY-DASHBOARD</vt:lpstr>
      <vt:lpstr>REGISTER</vt:lpstr>
      <vt:lpstr>R-11-DETAIL</vt:lpstr>
      <vt:lpstr>SCORING-ANCHORS</vt:lpstr>
      <vt:lpstr>APPETITE-CHECK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Rity Shree</cp:lastModifiedBy>
  <cp:revision>0</cp:revision>
  <dcterms:created xsi:type="dcterms:W3CDTF">2026-09-13T09:57:20Z</dcterms:created>
  <dcterms:modified xsi:type="dcterms:W3CDTF">2026-09-14T04:15:22Z</dcterms:modified>
  <dc:language>en-US</dc:language>
</cp:coreProperties>
</file>