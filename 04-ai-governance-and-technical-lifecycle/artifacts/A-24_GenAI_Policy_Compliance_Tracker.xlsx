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areer\Portfolio\Project4\Artifacts\"/>
    </mc:Choice>
  </mc:AlternateContent>
  <xr:revisionPtr revIDLastSave="0" documentId="13_ncr:1_{F6DDB7A6-D121-4FE3-A1FE-18477C8E4D56}" xr6:coauthVersionLast="47" xr6:coauthVersionMax="47" xr10:uidLastSave="{00000000-0000-0000-0000-000000000000}"/>
  <bookViews>
    <workbookView xWindow="22932" yWindow="-108" windowWidth="23256" windowHeight="12720" firstSheet="1" activeTab="2" xr2:uid="{00000000-000D-0000-FFFF-FFFF00000000}"/>
  </bookViews>
  <sheets>
    <sheet name="README" sheetId="1" r:id="rId1"/>
    <sheet name="VERSION-CONTROL" sheetId="2" r:id="rId2"/>
    <sheet name="CONTROL-STATUS" sheetId="3" r:id="rId3"/>
    <sheet name="CONSTRAINTS" sheetId="4" r:id="rId4"/>
    <sheet name="POLICY-TRACEABILITY" sheetId="5" r:id="rId5"/>
    <sheet name="APPROVED-TOOLS" sheetId="6" r:id="rId6"/>
    <sheet name="BREACH-INCIDENT-LOG" sheetId="7" r:id="rId7"/>
    <sheet name="EXCEPTION-REGISTER"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3" l="1"/>
  <c r="B29" i="3"/>
  <c r="B28" i="3"/>
  <c r="B27" i="3"/>
  <c r="B26" i="3"/>
  <c r="B25" i="3"/>
  <c r="B24" i="3"/>
  <c r="B31" i="3" s="1"/>
</calcChain>
</file>

<file path=xl/sharedStrings.xml><?xml version="1.0" encoding="utf-8"?>
<sst xmlns="http://schemas.openxmlformats.org/spreadsheetml/2006/main" count="491" uniqueCount="355">
  <si>
    <t>GENAI POLICY COMPLIANCE TRACKER</t>
  </si>
  <si>
    <t>Credit Decisioning Assistant (CDA) Framework — Artefact A-24, v1.2 | Enterprise Governance Design Artefact</t>
  </si>
  <si>
    <t>FIELD</t>
  </si>
  <si>
    <t>DETAIL</t>
  </si>
  <si>
    <t>PURPOSE</t>
  </si>
  <si>
    <t>Tracks operational compliance and implementation status of every mandatory technical and ethical control against the policies requiring them across both architectural layers (deterministic scoring and generative RAG narration).</t>
  </si>
  <si>
    <t>SYSTEM GOVERNED</t>
  </si>
  <si>
    <t>Credit Decisioning Assistant (CDA) — hybrid deterministic XGBoost scoring + AWS Bedrock (Claude) RAG narration supporting retail credit decisions (~870,000 annual applicants).</t>
  </si>
  <si>
    <t>PROVENANCE &amp; METHODOLOGY</t>
  </si>
  <si>
    <t>Synthesizes statutory requirements across EU AI Act (Art. 9, 10, 12, 13, 14, 15, 26, 72, 73), MAS TRM Guidelines (Ch. 3, 5, 8, 9, 11, 13), MAS FEAT Principles, and GDPR (Art. 5, 22, 32, 33, 35).</t>
  </si>
  <si>
    <t>REGULATORY BASIS</t>
  </si>
  <si>
    <t>EU AI Act Art. 10, 12, 13, 14, 15, 26, 73; MAS TRM Ch. 3, 5, 8, 9, 11; MAS FEAT; GDPR Art. 5, 22, 32, 33; Singapore PDPA.</t>
  </si>
  <si>
    <t>VERSION AND APPROVAL HISTORY</t>
  </si>
  <si>
    <t>VERSION</t>
  </si>
  <si>
    <t>DATE</t>
  </si>
  <si>
    <t>AUTHOR</t>
  </si>
  <si>
    <t>REVIEWER</t>
  </si>
  <si>
    <t>APPROVER</t>
  </si>
  <si>
    <t>STATUS</t>
  </si>
  <si>
    <t>CHANGE SUMMARY</t>
  </si>
  <si>
    <t>v1.0</t>
  </si>
  <si>
    <t>2026-03-08</t>
  </si>
  <si>
    <t>Security Architecture</t>
  </si>
  <si>
    <t>AI-CoE</t>
  </si>
  <si>
    <t>AIGC</t>
  </si>
  <si>
    <t>Superseded</t>
  </si>
  <si>
    <t>Eight controls, narration layer and enforcement only.</t>
  </si>
  <si>
    <t>v1.1</t>
  </si>
  <si>
    <t>2026-09-13</t>
  </si>
  <si>
    <t>Model Risk; AI-CoE</t>
  </si>
  <si>
    <t>Recreated for hybrid architecture. Nine controls added covering determinism, scoring validation, fairness, and resilience.</t>
  </si>
  <si>
    <t>CONTROL STATUS — 17 CONTROLS ACROSS BOTH ARCHITECTURAL LAYERS</t>
  </si>
  <si>
    <t>Status reflects verified operational reality, not aspirational intent. GDR-06 is CONSTRAINED, not Outstanding.</t>
  </si>
  <si>
    <t>REF</t>
  </si>
  <si>
    <t>CONTROL NAME &amp; SPECIFICATION</t>
  </si>
  <si>
    <t>ARCHITECTURAL LAYER</t>
  </si>
  <si>
    <t>GOVERNING POLICY</t>
  </si>
  <si>
    <t>IMPLEMENTATION CONSTRAINT / COMPENSATING CONTROL</t>
  </si>
  <si>
    <t>TEST TYPE</t>
  </si>
  <si>
    <t>RE-TEST CADENCE</t>
  </si>
  <si>
    <t>OWNER</t>
  </si>
  <si>
    <t>GDR-01</t>
  </si>
  <si>
    <t>Content filtering, input and output prompt sanitization</t>
  </si>
  <si>
    <t>Narration</t>
  </si>
  <si>
    <t>Internal GenAI AUP §2</t>
  </si>
  <si>
    <t>Implemented</t>
  </si>
  <si>
    <t>None</t>
  </si>
  <si>
    <t>Effectiveness</t>
  </si>
  <si>
    <t>Quarterly</t>
  </si>
  <si>
    <t>GDR-02</t>
  </si>
  <si>
    <t>Denied topic filtering — regulated financial advice</t>
  </si>
  <si>
    <t>GDR-03</t>
  </si>
  <si>
    <t>PII dynamic redaction, six entity types incl. NRIC/FIN</t>
  </si>
  <si>
    <t>Data Governance Policy §4</t>
  </si>
  <si>
    <t>Data Protection Officer</t>
  </si>
  <si>
    <t>GDR-04</t>
  </si>
  <si>
    <t>Grounding verification, block-on-fail (score &gt;= 0.75)</t>
  </si>
  <si>
    <t>AI System Profile §3</t>
  </si>
  <si>
    <t>Model Risk Management</t>
  </si>
  <si>
    <t>GDR-05</t>
  </si>
  <si>
    <t>Blocked-response routing to human underwriter queue</t>
  </si>
  <si>
    <t>Human Oversight Procedure §5</t>
  </si>
  <si>
    <t>Configuration</t>
  </si>
  <si>
    <t>Annual</t>
  </si>
  <si>
    <t>Loan Operations</t>
  </si>
  <si>
    <t>GDR-06</t>
  </si>
  <si>
    <t>Formal verification of stated policy conclusions</t>
  </si>
  <si>
    <t>CONSTRAINED</t>
  </si>
  <si>
    <t>Platform capability unavailable in Singapore ap-southeast-1; compensated via underwriter check 2 (R-12)</t>
  </si>
  <si>
    <t>Not tested</t>
  </si>
  <si>
    <t>Quarterly review</t>
  </si>
  <si>
    <t>AI Governance Lead</t>
  </si>
  <si>
    <t>DET-01</t>
  </si>
  <si>
    <t>Temperature and Top-P pinning (deterministic zero variance)</t>
  </si>
  <si>
    <t>DET-02</t>
  </si>
  <si>
    <t>System prompt versioned and SHA-256 hashed at invocation</t>
  </si>
  <si>
    <t>On change</t>
  </si>
  <si>
    <t>ENF-01</t>
  </si>
  <si>
    <t>IAM permission boundary: access denied without guardrail</t>
  </si>
  <si>
    <t>Orchestration</t>
  </si>
  <si>
    <t>ENF-02</t>
  </si>
  <si>
    <t>Governed exception path with automated security alarm</t>
  </si>
  <si>
    <t>Internal GenAI AUP §5</t>
  </si>
  <si>
    <t>FAIR-01</t>
  </si>
  <si>
    <t>Proxy-attribute disparity within pre-declared threshold (DIR &gt;= 0.80)</t>
  </si>
  <si>
    <t>Scoring</t>
  </si>
  <si>
    <t>Responsible AI Policy (A-20)</t>
  </si>
  <si>
    <t>None (Remediated at Gate 2: 0.67 -&gt; 0.89)</t>
  </si>
  <si>
    <t>FAIR-02</t>
  </si>
  <si>
    <t>Equal opportunity difference within threshold (EOD &lt;= 0.05)</t>
  </si>
  <si>
    <t>None (Validated at Gate 4)</t>
  </si>
  <si>
    <t>MDL-01</t>
  </si>
  <si>
    <t>Probability calibration within Brier tolerance (Brier &lt;= 0.18)</t>
  </si>
  <si>
    <t>AI Risk Management Policy (A-12)</t>
  </si>
  <si>
    <t>None (Achieved 0.13 at validation)</t>
  </si>
  <si>
    <t>On retrain</t>
  </si>
  <si>
    <t>MDL-02</t>
  </si>
  <si>
    <t>Generalization gap within tolerance (AUC gap &lt;= 5 pts)</t>
  </si>
  <si>
    <t>None (Achieved 3.1 pts; no underfitting)</t>
  </si>
  <si>
    <t>LOG-01</t>
  </si>
  <si>
    <t>Invocation audit logging captures both model versions</t>
  </si>
  <si>
    <t>Monitoring Policy §7</t>
  </si>
  <si>
    <t>LOG-02</t>
  </si>
  <si>
    <t>PII redaction applied before record written to S3 WORM vault</t>
  </si>
  <si>
    <t>RES-01</t>
  </si>
  <si>
    <t>Circuit breaker to deterministic scoring fallback on latency/fail</t>
  </si>
  <si>
    <t>BCP Playbook §2</t>
  </si>
  <si>
    <t>Semi-annual</t>
  </si>
  <si>
    <t>CISO</t>
  </si>
  <si>
    <t>CONTROL IMPLEMENTATION SUMMARY</t>
  </si>
  <si>
    <t>Controls in the Mandatory Baseline Set</t>
  </si>
  <si>
    <t>Total mandatory safeguards required across both layers</t>
  </si>
  <si>
    <t>Deterministic Scoring Layer Controls</t>
  </si>
  <si>
    <t>Model risk, statistical calibration, and algorithmic fairness</t>
  </si>
  <si>
    <t>Generative Narration Layer Controls</t>
  </si>
  <si>
    <t>Guardrails, grounding, redaction, determinism, and topic blocks</t>
  </si>
  <si>
    <t>Orchestration &amp; Infrastructure Controls</t>
  </si>
  <si>
    <t>IAM enforcement, audit vault logging, and circuit breakers</t>
  </si>
  <si>
    <t>Fully Implemented Controls</t>
  </si>
  <si>
    <t>Constrained Controls (Regional Infrastructure)</t>
  </si>
  <si>
    <t>GDR-06 formal rule verifier unavailable in Singapore; managed under R-12</t>
  </si>
  <si>
    <t>Outstanding Controls (Implementable but Unbuilt)</t>
  </si>
  <si>
    <t>Deliberately shown as 0; zero controls are waiting to be implemented</t>
  </si>
  <si>
    <t>Operational Implementation Rate</t>
  </si>
  <si>
    <t>16 / 17 controls active (94.1% implementation rate)</t>
  </si>
  <si>
    <t>IMPLEMENTATION CONSTRAINTS AND COMPENSATING CONTROLS</t>
  </si>
  <si>
    <t>Detailed governance justification for each constrained control, options evaluated, and residual risk acceptance (Artefact A-09 R-12 reconciliation)</t>
  </si>
  <si>
    <t>CONTROL NAME</t>
  </si>
  <si>
    <t>NATURE OF TECHNICAL CONSTRAINT</t>
  </si>
  <si>
    <t>OPTIONS EVALUATED &amp; FINAL DECISION</t>
  </si>
  <si>
    <t>COMPENSATING CONTROL OPERATIONALIZED</t>
  </si>
  <si>
    <t>HOW MUCH WEAKER</t>
  </si>
  <si>
    <t>APPROVAL AUTHORITY</t>
  </si>
  <si>
    <t>REVIEW CADENCE</t>
  </si>
  <si>
    <t>Formal verification of stated conclusions against credit policy rules</t>
  </si>
  <si>
    <t>Narration Layer</t>
  </si>
  <si>
    <t>Platform automated entailment capability is not available within AWS Singapore (ap-southeast-1), which is the sovereign jurisdiction customer financial data must remain in under MAS TRM and PDPA covenants. Confirmed by AWS Bedrock regional availability documentation.</t>
  </si>
  <si>
    <t>(a) Deploy in US/EU region where available — REJECTED: breaches statutory data residency covenants.
(b) Defer the control without compensating safeguard — REJECTED: leaves hallucinated citations undetected while claiming coverage.
(c) Accept with compensating underwriter control and quarterly availability review — ADOPTED.</t>
  </si>
  <si>
    <t>Mandatory passage-level citation (GDR-04) combined with Underwriter Check 2 in A-36: underwriter must independently verify that the cited policy passage actually supports the adverse conclusion before release.</t>
  </si>
  <si>
    <t>Weaker. Relies on human detection of a failure designed to look fluent and correct. Failure Mode FM-08 carries the joint-highest Detection score in AI FMEA (A-10) as a direct consequence.</t>
  </si>
  <si>
    <t>AI Governance Committee &amp; CRO (2026-03-11)</t>
  </si>
  <si>
    <t>Quarterly Regional Availability Audit</t>
  </si>
  <si>
    <t>POLICY TRACEABILITY AND STATUTORY MAPPING</t>
  </si>
  <si>
    <t>Every mandatory control traced directly to internal policies and external global regulations (EU AI Act, MAS TRM, GDPR, ISO 42001)</t>
  </si>
  <si>
    <t>OPERATIONAL GOVERNING POLICY</t>
  </si>
  <si>
    <t>STATUTORY REGULATORY BASIS &amp; CLAUSE</t>
  </si>
  <si>
    <t>Input and output content filtering</t>
  </si>
  <si>
    <t>Internal GenAI Acceptable Use Policy §2 (A-21)</t>
  </si>
  <si>
    <t>EU AI Act Art. 15 (Cybersecurity &amp; Robustness); MAS FEAT Principles (Ethics)</t>
  </si>
  <si>
    <t>Denied topic filtering (regulated advice)</t>
  </si>
  <si>
    <t>Financial Advisers Act / Licensing Rules; MAS FEAT Accountability</t>
  </si>
  <si>
    <t>PII redaction (6 entity types incl. NRIC)</t>
  </si>
  <si>
    <t>Data Governance &amp; Privacy Policy for AI §4 (A-13)</t>
  </si>
  <si>
    <t>EU AI Act Art. 10(5); GDPR Art. 5(1)(c), Art. 32; Singapore PDPA Protection Obligation</t>
  </si>
  <si>
    <t>Grounding verification (score &gt;= 0.75)</t>
  </si>
  <si>
    <t>AI System Profile §3 (A-04)</t>
  </si>
  <si>
    <t>EU AI Act Art. 13 &amp; Art. 15; GDPR Recital 71; MAS FEAT Transparency</t>
  </si>
  <si>
    <t>Blocked-response routing to human</t>
  </si>
  <si>
    <t>Human Oversight &amp; Escalation Procedure §5 (A-36)</t>
  </si>
  <si>
    <t>EU AI Act Art. 14 (Human Oversight); GDPR Art. 22(3) Right to Human Intervention</t>
  </si>
  <si>
    <t>Formal verification of conclusions</t>
  </si>
  <si>
    <t>AI System Profile §3 (A-04); Exception R-12</t>
  </si>
  <si>
    <t>EU AI Act Art. 15 (Accuracy &amp; Robustness); ISO/IEC 42001 Cl. 8.2</t>
  </si>
  <si>
    <t>Temperature and Top-P zero pinning</t>
  </si>
  <si>
    <t>EU AI Act Art. 15; MAS FEAT Fairness (Stochastic variance in credit rationales is unacceptable)</t>
  </si>
  <si>
    <t>System prompt versioning and hashing</t>
  </si>
  <si>
    <t>EU AI Act Art. 12 (Automatic Logging); ISO/IEC 42001 Cl. 8.3</t>
  </si>
  <si>
    <t>IAM permission boundary lock (no bypass)</t>
  </si>
  <si>
    <t>EU AI Act Art. 26 (Deployer Obligations); MAS TRM Ch. 9 (Access Control)</t>
  </si>
  <si>
    <t>Governed exception path with alarm</t>
  </si>
  <si>
    <t>Internal GenAI Acceptable Use Policy §5 (A-21)</t>
  </si>
  <si>
    <t>MAS TRM Ch. 9; ISO/IEC 27001 Access Management</t>
  </si>
  <si>
    <t>Proxy-attribute disparity (DIR &gt;= 0.80)</t>
  </si>
  <si>
    <t>Responsible AI Policy (A-20 §3)</t>
  </si>
  <si>
    <t>EU AI Act Art. 10(2)(f)–(g); MAS FEAT Fairness; US ECOA (Four-Fifths Rule)</t>
  </si>
  <si>
    <t>Equal opportunity difference (EOD &lt;= 0.05)</t>
  </si>
  <si>
    <t>EU AI Act Art. 10(2); MAS FEAT Fairness; Singapore Model AI Governance Framework</t>
  </si>
  <si>
    <t>Probability calibration (Brier &lt;= 0.18)</t>
  </si>
  <si>
    <t>AI Risk Management Policy (A-12 §3)</t>
  </si>
  <si>
    <t>EU AI Act Art. 15; MAS TRM Model Risk Management expectations; Fed SR 11-7</t>
  </si>
  <si>
    <t>Generalization gap &amp; underfitting checks</t>
  </si>
  <si>
    <t>EU AI Act Art. 15; ISO/IEC 23053 ML Lifecycle Standards; Fed SR 11-7</t>
  </si>
  <si>
    <t>Invocation logging (both model versions)</t>
  </si>
  <si>
    <t>Post-Deployment Monitoring &amp; Review Policy §7 (A-30)</t>
  </si>
  <si>
    <t>EU AI Act Art. 12, Art. 19; MAS TRM Ch. 11.2; GDPR Art. 30</t>
  </si>
  <si>
    <t>Pre-storage redaction ordering</t>
  </si>
  <si>
    <t>GDPR Art. 25 (Data Protection by Design &amp; Default), Art. 32; Singapore PDPA</t>
  </si>
  <si>
    <t>Circuit breaker to deterministic fallback</t>
  </si>
  <si>
    <t>Business Continuity &amp; Resilience Playbook §2 (A-44)</t>
  </si>
  <si>
    <t>EU AI Act Art. 15 (Operational Resilience); MAS TRM Ch. 8; DORA Art. 11/12</t>
  </si>
  <si>
    <t>ENTERPRISE APPROVED AI TOOLS AND PLATFORM REGISTER</t>
  </si>
  <si>
    <t>Corporate register of approved and restricted AI platforms, data classification limits, and permitted use cases (Artefact A-21 / A-22 alignment)</t>
  </si>
  <si>
    <t>TOOL ID</t>
  </si>
  <si>
    <t>TOOL NAME</t>
  </si>
  <si>
    <t>PROVIDER / PLATFORM</t>
  </si>
  <si>
    <t>CATEGORY</t>
  </si>
  <si>
    <t>PERMITTED DATA CLASSIFICATION</t>
  </si>
  <si>
    <t>PII INGESTION PERMITTED?</t>
  </si>
  <si>
    <t>APPROVED BUSINESS UNITS &amp; USAGE</t>
  </si>
  <si>
    <t>KEY MANDATORY RESTRICTIONS</t>
  </si>
  <si>
    <t>T-001</t>
  </si>
  <si>
    <t>AWS Bedrock (Claude 3.5 Sonnet)</t>
  </si>
  <si>
    <t>Amazon Web Services</t>
  </si>
  <si>
    <t>Managed LLM API</t>
  </si>
  <si>
    <t>Confidential Personal (L3)</t>
  </si>
  <si>
    <t>Yes — Redacted via GDR-03 only</t>
  </si>
  <si>
    <t>Retail Lending (CDA Narration Layer MDL-002)</t>
  </si>
  <si>
    <t>Private VPC; Singapore ap-southeast-1 residency; zero provider training retention; IAM boundary lock ENF-01.</t>
  </si>
  <si>
    <t>Active — Production</t>
  </si>
  <si>
    <t>T-002</t>
  </si>
  <si>
    <t>Amazon SageMaker (XGBoost)</t>
  </si>
  <si>
    <t>Predictive ML Endpoint</t>
  </si>
  <si>
    <t>Highly Restricted Financial (L5)</t>
  </si>
  <si>
    <t>Yes — Governed Feature Store</t>
  </si>
  <si>
    <t>Retail Credit Risk (CDA Scoring Layer MDL-001)</t>
  </si>
  <si>
    <t>In-house trained; 70/15/15 partition; Model Risk custody; no internet egress; dedicated KMS customer-managed keys.</t>
  </si>
  <si>
    <t>T-003</t>
  </si>
  <si>
    <t>Amazon Titan Text Embeddings</t>
  </si>
  <si>
    <t>Embedding Model</t>
  </si>
  <si>
    <t>Internal (L2)</t>
  </si>
  <si>
    <t>No — Policy Documents Only</t>
  </si>
  <si>
    <t>Retail Credit Operations (CDA Vector Retrieval MDL-003)</t>
  </si>
  <si>
    <t>Policy chunk SHA-256 hashed; chunk metadata scrubbed of demographic proxies (prompt Q2.4 enforced).</t>
  </si>
  <si>
    <t>T-004</t>
  </si>
  <si>
    <t>AWS Bedrock Guardrails Engine</t>
  </si>
  <si>
    <t>Safety Control Layer</t>
  </si>
  <si>
    <t>No — Evaluator Engine</t>
  </si>
  <si>
    <t>Security Architecture (CDA Safety Layer MDL-004)</t>
  </si>
  <si>
    <t>Enforces GDR-01/02/03/04 block-on-fail (&gt;=0.75 floor); PII masking; latency p95 monitored.</t>
  </si>
  <si>
    <t>T-005</t>
  </si>
  <si>
    <t>Microsoft 365 Copilot (Enterprise)</t>
  </si>
  <si>
    <t>Microsoft</t>
  </si>
  <si>
    <t>Workforce Assistant</t>
  </si>
  <si>
    <t>Internal / Confidential (L2/L3)</t>
  </si>
  <si>
    <t>No Customer PII</t>
  </si>
  <si>
    <t>Enterprise Workforce (Drafting, meeting minutes, general search)</t>
  </si>
  <si>
    <t>Corporate SSO/MFA only; tenant data boundaries enforced; no customer financial data; outputs require human verification.</t>
  </si>
  <si>
    <t>Active — Workforce</t>
  </si>
  <si>
    <t>T-006</t>
  </si>
  <si>
    <t>Amazon Q Business (Developer)</t>
  </si>
  <si>
    <t>Code Assistant</t>
  </si>
  <si>
    <t>Internal Code / Config (L2)</t>
  </si>
  <si>
    <t>Strictly Prohibited</t>
  </si>
  <si>
    <t>IT Engineering &amp; Data Science (Code completion, test generation)</t>
  </si>
  <si>
    <t>Corporate AWS IAM credentials only; no production credentials, keys, or client data in prompts.</t>
  </si>
  <si>
    <t>Active — Engineering</t>
  </si>
  <si>
    <t>T-007</t>
  </si>
  <si>
    <t>Consumer GenAI (ChatGPT / Gemini / Claude)</t>
  </si>
  <si>
    <t>Public Web Providers</t>
  </si>
  <si>
    <t>Public Web Chatbots</t>
  </si>
  <si>
    <t>Public Only (L1)</t>
  </si>
  <si>
    <t>NONE — Prohibited Across Bank</t>
  </si>
  <si>
    <t>Blocked on corporate network and managed endpoints; personal accounts prohibited for any bank business tasks.</t>
  </si>
  <si>
    <t>PROHIBITED</t>
  </si>
  <si>
    <t>T-008</t>
  </si>
  <si>
    <t>Unvetted 3rd-Party HR CV Screening AI</t>
  </si>
  <si>
    <t>Commercial SaaS</t>
  </si>
  <si>
    <t>Automated Assessment</t>
  </si>
  <si>
    <t>Confidential HR Data</t>
  </si>
  <si>
    <t>Prohibited</t>
  </si>
  <si>
    <t>NONE — Rejected at Gate 1 (UC-006)</t>
  </si>
  <si>
    <t>Vendor refused to provide pre-training data documentation or evaluation methodology (DQ-3 disqualifier).</t>
  </si>
  <si>
    <t>REJECTED AT D1</t>
  </si>
  <si>
    <t>AI POLICY BREACH AND INCIDENT TRACKING LOG</t>
  </si>
  <si>
    <t>Audit-ready log of compliance deviations, testing failures, unapproved tool usage, and security events (Artefact A-32 alignment)</t>
  </si>
  <si>
    <t>INCIDENT ID</t>
  </si>
  <si>
    <t>BUSINESS UNIT</t>
  </si>
  <si>
    <t>SYSTEM / TOOL INVOLVED</t>
  </si>
  <si>
    <t>SEVERITY</t>
  </si>
  <si>
    <t>BREACH DESCRIPTION &amp; FAILURE MODE</t>
  </si>
  <si>
    <t>POLICY &amp; CONTROL IMPLICATED</t>
  </si>
  <si>
    <t>REGULATORY NOTIFICATION CLOCK</t>
  </si>
  <si>
    <t>ROOT CAUSE ANALYSIS</t>
  </si>
  <si>
    <t>CORRECTIVE REMEDIATION ACTION</t>
  </si>
  <si>
    <t>INC-2026-001</t>
  </si>
  <si>
    <t>2026-02-17</t>
  </si>
  <si>
    <t>Retail Credit Development</t>
  </si>
  <si>
    <t>CDA Vector Retrieval (MDL-003)</t>
  </si>
  <si>
    <t>Critical (P1)</t>
  </si>
  <si>
    <t>Gate 2 Fairness Block: Counterfactual pair testing detected Disparate Impact Ratio of 0.67 across Singapore planning areas.</t>
  </si>
  <si>
    <t>Responsible AI Policy §3; Control FAIR-01; EU AI Act Art. 10</t>
  </si>
  <si>
    <t>Not required (Pre-deployment test gate caught failure)</t>
  </si>
  <si>
    <t>Postal district metadata carried into retrieval corpus from legacy schema without recorded purpose; adverse guidance retrieved 2.3x more frequently for low-income segments.</t>
  </si>
  <si>
    <t>Gate 2 halted for 11 days. Postal district field deleted from vector schema; address added to permanent redaction set; prompt Q2.4 made mandatory. Re-test passed at DIR 0.89.</t>
  </si>
  <si>
    <t>Closed — Remediated</t>
  </si>
  <si>
    <t>INC-2026-002</t>
  </si>
  <si>
    <t>2026-05-08</t>
  </si>
  <si>
    <t>HR Operations</t>
  </si>
  <si>
    <t>Third-Party CV Screening SaaS</t>
  </si>
  <si>
    <t>High (P2)</t>
  </si>
  <si>
    <t>Vendor Due Diligence Disqualification: Commercial HR vendor refused to supply training-data characterisation or bias evaluation results.</t>
  </si>
  <si>
    <t>Vendor Due Diligence Checklist (A-17 DQ-3); EU AI Act Art. 26</t>
  </si>
  <si>
    <t>Not required (Intake screening gate operated as designed)</t>
  </si>
  <si>
    <t>Vendor claimed training datasets were trade secrets and offered commercial indemnity instead of technical documentation.</t>
  </si>
  <si>
    <t>Use case UC-006 rejected outright at Decision Point 1 (D1) by AI Governance Committee. Permanent rejection record entered into AI Use Case Inventory (A-01).</t>
  </si>
  <si>
    <t>Closed — Rejected</t>
  </si>
  <si>
    <t>INC-2026-003</t>
  </si>
  <si>
    <t>2026-06-12</t>
  </si>
  <si>
    <t>Corporate Legal / Finance</t>
  </si>
  <si>
    <t>Public Consumer ChatGPT</t>
  </si>
  <si>
    <t>Workforce Policy Breach: Staff member pasted draft commercial contract clauses into consumer web ChatGPT to assist with redrafting.</t>
  </si>
  <si>
    <t>Workforce GenAI Acceptable Usage Policy (A-22 §4); Information Security Policy</t>
  </si>
  <si>
    <t>Internal triage; no customer PII exposed; supervisory notification not required</t>
  </si>
  <si>
    <t>Lack of awareness regarding enterprise M365 Copilot availability; no technical endpoint block active on guest Wi-Fi.</t>
  </si>
  <si>
    <t>Employee counselled; network perimeter blocks updated to deny consumer AI endpoints; mandatory annual AI literacy training (A-38) launched.</t>
  </si>
  <si>
    <t>INC-2026-004</t>
  </si>
  <si>
    <t>2026-08-14</t>
  </si>
  <si>
    <t>CDA Underwriting Interface</t>
  </si>
  <si>
    <t>Medium (P3)</t>
  </si>
  <si>
    <t>Human Oversight Override Floor Alert: Single underwriter team's override rate fell to 8.2% (below 15% corridor floor) over 14 operating days.</t>
  </si>
  <si>
    <t>Human Oversight &amp; Escalation Procedure (A-36 §4); Control GDR-05</t>
  </si>
  <si>
    <t>Internal review only; operational risk threshold trigger</t>
  </si>
  <si>
    <t>Commercial queue pressure during promotional loan campaign led junior underwriters to accept CDA recommendations without conducting 3.5-minute manual check.</t>
  </si>
  <si>
    <t>Review duration floor (3.5 mins) programmatically locked in user interface; underwriter recertification required; override rate restored to 24.6%.</t>
  </si>
  <si>
    <t>FORMAL AI GOVERNANCE EXCEPTION AND RESIDUAL RISK REGISTER</t>
  </si>
  <si>
    <t>Log of authorized policy waivers, technical constraints, compensating controls, and sunset dates (Artefact A-09 / A-26 §3 alignment)</t>
  </si>
  <si>
    <t>EXCEPTION ID</t>
  </si>
  <si>
    <t>SYSTEM / COMPONENT</t>
  </si>
  <si>
    <t>REQUESTED BY</t>
  </si>
  <si>
    <t>POLICY REQUIREMENT WAIVED</t>
  </si>
  <si>
    <t>BUSINESS &amp; TECHNICAL JUSTIFICATION</t>
  </si>
  <si>
    <t>COMPENSATING RISK CONTROLS</t>
  </si>
  <si>
    <t>APPROVED BY</t>
  </si>
  <si>
    <t>APPROVAL DATE</t>
  </si>
  <si>
    <t>EXPIRY / REVIEW DATE</t>
  </si>
  <si>
    <t>EXC-001 (R-12)</t>
  </si>
  <si>
    <t>CDA Narration Layer (MDL-005)</t>
  </si>
  <si>
    <t>Control GDR-06: Formal automated verification of stated conclusions against credit policy rules</t>
  </si>
  <si>
    <t>Automated rule entailment verifier capability is not available within AWS Singapore ap-southeast-1 cloud region. Cross-border routing to US/EU is prohibited by MAS data residency covenants.</t>
  </si>
  <si>
    <t>Mandatory passage-level citation (GDR-04) combined with Underwriter Check 2 (A-36 §3): loan officer must visually verify cited clause supports adverse rationale before signing.</t>
  </si>
  <si>
    <t>AI Governance Committee &amp; CRO</t>
  </si>
  <si>
    <t>2026-03-11</t>
  </si>
  <si>
    <t>Quarterly (Next: 2026-09-30)</t>
  </si>
  <si>
    <t>Active — Governed</t>
  </si>
  <si>
    <t>EXC-002</t>
  </si>
  <si>
    <t>CDA Production Deployment Bounding</t>
  </si>
  <si>
    <t>Head of Retail Credit Lending</t>
  </si>
  <si>
    <t>Full Commercial Production Cutover (D5 / Gate 5)</t>
  </si>
  <si>
    <t>Controlled initial deployment to establish operational telemetry and evaluate underwriter override behavior under realistic volume.</t>
  </si>
  <si>
    <t>Deployment strictly bounded at 500 retail credit applications. Real-time telemetry monitoring (PSI drift, Brier score, override band). Full commercial expansion requires separate Board Risk Committee approval.</t>
  </si>
  <si>
    <t>AIGC Chair &amp; Accountable Business Owner</t>
  </si>
  <si>
    <t>2026-03-25</t>
  </si>
  <si>
    <t>2026-10-31 (or 500 apps)</t>
  </si>
  <si>
    <t>Active — Bounded Pilot</t>
  </si>
  <si>
    <t>EXC-003</t>
  </si>
  <si>
    <t>Offline Synthetic Model Evaluation</t>
  </si>
  <si>
    <t>AI-CoE Lead / Data Science</t>
  </si>
  <si>
    <t>AUP §2: Use of external API outside private VPC</t>
  </si>
  <si>
    <t>Independent offline benchmarking of candidate foundation models against bank lending policy test harness during successor evaluation.</t>
  </si>
  <si>
    <t>Restricted strictly to synthetic borrower profiles and public lending guidelines; zero live applicant data or customer PII; API logs reviewed by Security Architecture.</t>
  </si>
  <si>
    <t>AI Governance Lead &amp; CISO</t>
  </si>
  <si>
    <t>2026-07-15</t>
  </si>
  <si>
    <t>2026-10-15</t>
  </si>
  <si>
    <t>Active — Sandbox Only</t>
  </si>
  <si>
    <t>Controls specified as active, with effectiveness/config test methods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</si>
</sst>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4"/>
      <color rgb="FF1F3864"/>
      <name val="Arial"/>
      <family val="2"/>
    </font>
    <font>
      <i/>
      <sz val="10"/>
      <color rgb="FF595959"/>
      <name val="Arial"/>
      <family val="2"/>
    </font>
    <font>
      <b/>
      <sz val="10"/>
      <color rgb="FFFFFFFF"/>
      <name val="Arial"/>
      <family val="2"/>
    </font>
    <font>
      <b/>
      <sz val="9.5"/>
      <color rgb="FF000000"/>
      <name val="Arial"/>
      <family val="2"/>
    </font>
    <font>
      <sz val="9.5"/>
      <color rgb="FF000000"/>
      <name val="Arial"/>
      <family val="2"/>
    </font>
    <font>
      <b/>
      <sz val="11"/>
      <color rgb="FF1F3864"/>
      <name val="Arial"/>
      <family val="2"/>
    </font>
    <font>
      <i/>
      <sz val="9"/>
      <color rgb="FF595959"/>
      <name val="Arial"/>
      <family val="2"/>
    </font>
  </fonts>
  <fills count="8">
    <fill>
      <patternFill patternType="none"/>
    </fill>
    <fill>
      <patternFill patternType="gray125"/>
    </fill>
    <fill>
      <patternFill patternType="solid">
        <fgColor rgb="FF1F3864"/>
        <bgColor rgb="FF1F3864"/>
      </patternFill>
    </fill>
    <fill>
      <patternFill patternType="solid">
        <fgColor rgb="FFF2F4F7"/>
        <bgColor rgb="FFF2F4F7"/>
      </patternFill>
    </fill>
    <fill>
      <patternFill patternType="solid">
        <fgColor rgb="FFE2EFDA"/>
        <bgColor rgb="FFE2EFDA"/>
      </patternFill>
    </fill>
    <fill>
      <patternFill patternType="solid">
        <fgColor rgb="FFF8CBAD"/>
        <bgColor rgb="FFF8CBAD"/>
      </patternFill>
    </fill>
    <fill>
      <patternFill patternType="solid">
        <fgColor rgb="FFFCE4D6"/>
        <bgColor rgb="FFFCE4D6"/>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0" borderId="0" xfId="0" applyFont="1"/>
    <xf numFmtId="0" fontId="7" fillId="0" borderId="0" xfId="0" applyFont="1" applyAlignment="1">
      <alignment horizontal="left" vertical="center" wrapText="1"/>
    </xf>
    <xf numFmtId="164" fontId="4" fillId="4"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A4" sqref="A4"/>
    </sheetView>
  </sheetViews>
  <sheetFormatPr defaultRowHeight="14.4" x14ac:dyDescent="0.3"/>
  <cols>
    <col min="1" max="1" width="28" customWidth="1"/>
    <col min="2" max="2" width="112" customWidth="1"/>
  </cols>
  <sheetData>
    <row r="1" spans="1:2" ht="17.399999999999999" x14ac:dyDescent="0.3">
      <c r="A1" s="1" t="s">
        <v>0</v>
      </c>
    </row>
    <row r="2" spans="1:2" x14ac:dyDescent="0.3">
      <c r="A2" s="2" t="s">
        <v>1</v>
      </c>
    </row>
    <row r="4" spans="1:2" x14ac:dyDescent="0.3">
      <c r="A4" s="3" t="s">
        <v>2</v>
      </c>
      <c r="B4" s="3" t="s">
        <v>3</v>
      </c>
    </row>
    <row r="5" spans="1:2" ht="24" x14ac:dyDescent="0.3">
      <c r="A5" s="4" t="s">
        <v>4</v>
      </c>
      <c r="B5" s="5" t="s">
        <v>5</v>
      </c>
    </row>
    <row r="6" spans="1:2" ht="24" x14ac:dyDescent="0.3">
      <c r="A6" s="4" t="s">
        <v>6</v>
      </c>
      <c r="B6" s="5" t="s">
        <v>7</v>
      </c>
    </row>
    <row r="7" spans="1:2" ht="25.2" x14ac:dyDescent="0.3">
      <c r="A7" s="4" t="s">
        <v>8</v>
      </c>
      <c r="B7" s="5" t="s">
        <v>9</v>
      </c>
    </row>
    <row r="8" spans="1:2" x14ac:dyDescent="0.3">
      <c r="A8" s="4" t="s">
        <v>10</v>
      </c>
      <c r="B8" s="5"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election activeCell="A4" sqref="A4"/>
    </sheetView>
  </sheetViews>
  <sheetFormatPr defaultRowHeight="14.4" x14ac:dyDescent="0.3"/>
  <cols>
    <col min="1" max="1" width="10" customWidth="1"/>
    <col min="2" max="2" width="13" customWidth="1"/>
    <col min="3" max="3" width="22" customWidth="1"/>
    <col min="4" max="4" width="26" customWidth="1"/>
    <col min="5" max="5" width="24" customWidth="1"/>
    <col min="6" max="6" width="14" customWidth="1"/>
    <col min="7" max="7" width="70" customWidth="1"/>
  </cols>
  <sheetData>
    <row r="1" spans="1:7" ht="17.399999999999999" x14ac:dyDescent="0.3">
      <c r="A1" s="1" t="s">
        <v>12</v>
      </c>
    </row>
    <row r="4" spans="1:7" x14ac:dyDescent="0.3">
      <c r="A4" s="3" t="s">
        <v>13</v>
      </c>
      <c r="B4" s="3" t="s">
        <v>14</v>
      </c>
      <c r="C4" s="3" t="s">
        <v>15</v>
      </c>
      <c r="D4" s="3" t="s">
        <v>16</v>
      </c>
      <c r="E4" s="3" t="s">
        <v>17</v>
      </c>
      <c r="F4" s="3" t="s">
        <v>18</v>
      </c>
      <c r="G4" s="3" t="s">
        <v>19</v>
      </c>
    </row>
    <row r="5" spans="1:7" x14ac:dyDescent="0.3">
      <c r="A5" s="6" t="s">
        <v>20</v>
      </c>
      <c r="B5" s="7" t="s">
        <v>21</v>
      </c>
      <c r="C5" s="5" t="s">
        <v>22</v>
      </c>
      <c r="D5" s="5" t="s">
        <v>23</v>
      </c>
      <c r="E5" s="5" t="s">
        <v>24</v>
      </c>
      <c r="F5" s="7" t="s">
        <v>25</v>
      </c>
      <c r="G5" s="5" t="s">
        <v>26</v>
      </c>
    </row>
    <row r="6" spans="1:7" ht="24" x14ac:dyDescent="0.3">
      <c r="A6" s="6" t="s">
        <v>27</v>
      </c>
      <c r="B6" s="7" t="s">
        <v>28</v>
      </c>
      <c r="C6" s="5" t="s">
        <v>22</v>
      </c>
      <c r="D6" s="5" t="s">
        <v>29</v>
      </c>
      <c r="E6" s="5" t="s">
        <v>24</v>
      </c>
      <c r="F6" s="7" t="s">
        <v>25</v>
      </c>
      <c r="G6" s="5"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tabSelected="1" topLeftCell="A22" workbookViewId="0">
      <selection activeCell="D29" sqref="D29"/>
    </sheetView>
  </sheetViews>
  <sheetFormatPr defaultRowHeight="14.4" x14ac:dyDescent="0.3"/>
  <cols>
    <col min="1" max="1" width="10" customWidth="1"/>
    <col min="2" max="2" width="44" customWidth="1"/>
    <col min="3" max="3" width="18" customWidth="1"/>
    <col min="4" max="4" width="32" customWidth="1"/>
    <col min="5" max="5" width="16" customWidth="1"/>
    <col min="6" max="6" width="46" customWidth="1"/>
    <col min="7" max="7" width="16" customWidth="1"/>
    <col min="8" max="8" width="20" customWidth="1"/>
    <col min="9" max="9" width="22" customWidth="1"/>
  </cols>
  <sheetData>
    <row r="1" spans="1:9" ht="17.399999999999999" x14ac:dyDescent="0.3">
      <c r="A1" s="1" t="s">
        <v>31</v>
      </c>
    </row>
    <row r="2" spans="1:9" x14ac:dyDescent="0.3">
      <c r="A2" s="2" t="s">
        <v>32</v>
      </c>
    </row>
    <row r="4" spans="1:9" ht="26.4" x14ac:dyDescent="0.3">
      <c r="A4" s="3" t="s">
        <v>33</v>
      </c>
      <c r="B4" s="3" t="s">
        <v>34</v>
      </c>
      <c r="C4" s="3" t="s">
        <v>35</v>
      </c>
      <c r="D4" s="3" t="s">
        <v>36</v>
      </c>
      <c r="E4" s="3" t="s">
        <v>18</v>
      </c>
      <c r="F4" s="3" t="s">
        <v>37</v>
      </c>
      <c r="G4" s="3" t="s">
        <v>38</v>
      </c>
      <c r="H4" s="3" t="s">
        <v>39</v>
      </c>
      <c r="I4" s="3" t="s">
        <v>40</v>
      </c>
    </row>
    <row r="5" spans="1:9" x14ac:dyDescent="0.3">
      <c r="A5" s="6" t="s">
        <v>41</v>
      </c>
      <c r="B5" s="5" t="s">
        <v>42</v>
      </c>
      <c r="C5" s="7" t="s">
        <v>43</v>
      </c>
      <c r="D5" s="5" t="s">
        <v>44</v>
      </c>
      <c r="E5" s="8" t="s">
        <v>45</v>
      </c>
      <c r="F5" s="5" t="s">
        <v>46</v>
      </c>
      <c r="G5" s="7" t="s">
        <v>47</v>
      </c>
      <c r="H5" s="7" t="s">
        <v>48</v>
      </c>
      <c r="I5" s="5" t="s">
        <v>22</v>
      </c>
    </row>
    <row r="6" spans="1:9" x14ac:dyDescent="0.3">
      <c r="A6" s="6" t="s">
        <v>49</v>
      </c>
      <c r="B6" s="5" t="s">
        <v>50</v>
      </c>
      <c r="C6" s="7" t="s">
        <v>43</v>
      </c>
      <c r="D6" s="5" t="s">
        <v>44</v>
      </c>
      <c r="E6" s="8" t="s">
        <v>45</v>
      </c>
      <c r="F6" s="5" t="s">
        <v>46</v>
      </c>
      <c r="G6" s="7" t="s">
        <v>47</v>
      </c>
      <c r="H6" s="7" t="s">
        <v>48</v>
      </c>
      <c r="I6" s="5" t="s">
        <v>22</v>
      </c>
    </row>
    <row r="7" spans="1:9" x14ac:dyDescent="0.3">
      <c r="A7" s="6" t="s">
        <v>51</v>
      </c>
      <c r="B7" s="5" t="s">
        <v>52</v>
      </c>
      <c r="C7" s="7" t="s">
        <v>43</v>
      </c>
      <c r="D7" s="5" t="s">
        <v>53</v>
      </c>
      <c r="E7" s="8" t="s">
        <v>45</v>
      </c>
      <c r="F7" s="5" t="s">
        <v>46</v>
      </c>
      <c r="G7" s="7" t="s">
        <v>47</v>
      </c>
      <c r="H7" s="7" t="s">
        <v>48</v>
      </c>
      <c r="I7" s="5" t="s">
        <v>54</v>
      </c>
    </row>
    <row r="8" spans="1:9" x14ac:dyDescent="0.3">
      <c r="A8" s="6" t="s">
        <v>55</v>
      </c>
      <c r="B8" s="5" t="s">
        <v>56</v>
      </c>
      <c r="C8" s="7" t="s">
        <v>43</v>
      </c>
      <c r="D8" s="5" t="s">
        <v>57</v>
      </c>
      <c r="E8" s="8" t="s">
        <v>45</v>
      </c>
      <c r="F8" s="5" t="s">
        <v>46</v>
      </c>
      <c r="G8" s="7" t="s">
        <v>47</v>
      </c>
      <c r="H8" s="7" t="s">
        <v>48</v>
      </c>
      <c r="I8" s="5" t="s">
        <v>58</v>
      </c>
    </row>
    <row r="9" spans="1:9" x14ac:dyDescent="0.3">
      <c r="A9" s="6" t="s">
        <v>59</v>
      </c>
      <c r="B9" s="5" t="s">
        <v>60</v>
      </c>
      <c r="C9" s="7" t="s">
        <v>43</v>
      </c>
      <c r="D9" s="5" t="s">
        <v>61</v>
      </c>
      <c r="E9" s="8" t="s">
        <v>45</v>
      </c>
      <c r="F9" s="5" t="s">
        <v>46</v>
      </c>
      <c r="G9" s="7" t="s">
        <v>62</v>
      </c>
      <c r="H9" s="7" t="s">
        <v>63</v>
      </c>
      <c r="I9" s="5" t="s">
        <v>64</v>
      </c>
    </row>
    <row r="10" spans="1:9" ht="24" x14ac:dyDescent="0.3">
      <c r="A10" s="6" t="s">
        <v>65</v>
      </c>
      <c r="B10" s="5" t="s">
        <v>66</v>
      </c>
      <c r="C10" s="7" t="s">
        <v>43</v>
      </c>
      <c r="D10" s="5" t="s">
        <v>57</v>
      </c>
      <c r="E10" s="9" t="s">
        <v>67</v>
      </c>
      <c r="F10" s="5" t="s">
        <v>68</v>
      </c>
      <c r="G10" s="7" t="s">
        <v>69</v>
      </c>
      <c r="H10" s="7" t="s">
        <v>70</v>
      </c>
      <c r="I10" s="5" t="s">
        <v>71</v>
      </c>
    </row>
    <row r="11" spans="1:9" ht="24" x14ac:dyDescent="0.3">
      <c r="A11" s="6" t="s">
        <v>72</v>
      </c>
      <c r="B11" s="5" t="s">
        <v>73</v>
      </c>
      <c r="C11" s="7" t="s">
        <v>43</v>
      </c>
      <c r="D11" s="5" t="s">
        <v>57</v>
      </c>
      <c r="E11" s="8" t="s">
        <v>45</v>
      </c>
      <c r="F11" s="5" t="s">
        <v>46</v>
      </c>
      <c r="G11" s="7" t="s">
        <v>62</v>
      </c>
      <c r="H11" s="7" t="s">
        <v>63</v>
      </c>
      <c r="I11" s="5" t="s">
        <v>22</v>
      </c>
    </row>
    <row r="12" spans="1:9" ht="24" x14ac:dyDescent="0.3">
      <c r="A12" s="6" t="s">
        <v>74</v>
      </c>
      <c r="B12" s="5" t="s">
        <v>75</v>
      </c>
      <c r="C12" s="7" t="s">
        <v>43</v>
      </c>
      <c r="D12" s="5" t="s">
        <v>57</v>
      </c>
      <c r="E12" s="8" t="s">
        <v>45</v>
      </c>
      <c r="F12" s="5" t="s">
        <v>46</v>
      </c>
      <c r="G12" s="7" t="s">
        <v>62</v>
      </c>
      <c r="H12" s="7" t="s">
        <v>76</v>
      </c>
      <c r="I12" s="5" t="s">
        <v>22</v>
      </c>
    </row>
    <row r="13" spans="1:9" ht="24" x14ac:dyDescent="0.3">
      <c r="A13" s="6" t="s">
        <v>77</v>
      </c>
      <c r="B13" s="5" t="s">
        <v>78</v>
      </c>
      <c r="C13" s="7" t="s">
        <v>79</v>
      </c>
      <c r="D13" s="5" t="s">
        <v>44</v>
      </c>
      <c r="E13" s="8" t="s">
        <v>45</v>
      </c>
      <c r="F13" s="5" t="s">
        <v>46</v>
      </c>
      <c r="G13" s="7" t="s">
        <v>47</v>
      </c>
      <c r="H13" s="7" t="s">
        <v>48</v>
      </c>
      <c r="I13" s="5" t="s">
        <v>22</v>
      </c>
    </row>
    <row r="14" spans="1:9" ht="24" x14ac:dyDescent="0.3">
      <c r="A14" s="6" t="s">
        <v>80</v>
      </c>
      <c r="B14" s="5" t="s">
        <v>81</v>
      </c>
      <c r="C14" s="7" t="s">
        <v>79</v>
      </c>
      <c r="D14" s="5" t="s">
        <v>82</v>
      </c>
      <c r="E14" s="8" t="s">
        <v>45</v>
      </c>
      <c r="F14" s="5" t="s">
        <v>46</v>
      </c>
      <c r="G14" s="7" t="s">
        <v>47</v>
      </c>
      <c r="H14" s="7" t="s">
        <v>48</v>
      </c>
      <c r="I14" s="5" t="s">
        <v>22</v>
      </c>
    </row>
    <row r="15" spans="1:9" ht="24" x14ac:dyDescent="0.3">
      <c r="A15" s="6" t="s">
        <v>83</v>
      </c>
      <c r="B15" s="5" t="s">
        <v>84</v>
      </c>
      <c r="C15" s="7" t="s">
        <v>85</v>
      </c>
      <c r="D15" s="5" t="s">
        <v>86</v>
      </c>
      <c r="E15" s="8" t="s">
        <v>45</v>
      </c>
      <c r="F15" s="5" t="s">
        <v>87</v>
      </c>
      <c r="G15" s="7" t="s">
        <v>47</v>
      </c>
      <c r="H15" s="7" t="s">
        <v>48</v>
      </c>
      <c r="I15" s="5" t="s">
        <v>58</v>
      </c>
    </row>
    <row r="16" spans="1:9" ht="24" x14ac:dyDescent="0.3">
      <c r="A16" s="6" t="s">
        <v>88</v>
      </c>
      <c r="B16" s="5" t="s">
        <v>89</v>
      </c>
      <c r="C16" s="7" t="s">
        <v>85</v>
      </c>
      <c r="D16" s="5" t="s">
        <v>86</v>
      </c>
      <c r="E16" s="8" t="s">
        <v>45</v>
      </c>
      <c r="F16" s="5" t="s">
        <v>90</v>
      </c>
      <c r="G16" s="7" t="s">
        <v>47</v>
      </c>
      <c r="H16" s="7" t="s">
        <v>48</v>
      </c>
      <c r="I16" s="5" t="s">
        <v>58</v>
      </c>
    </row>
    <row r="17" spans="1:9" ht="24" x14ac:dyDescent="0.3">
      <c r="A17" s="6" t="s">
        <v>91</v>
      </c>
      <c r="B17" s="5" t="s">
        <v>92</v>
      </c>
      <c r="C17" s="7" t="s">
        <v>85</v>
      </c>
      <c r="D17" s="5" t="s">
        <v>93</v>
      </c>
      <c r="E17" s="8" t="s">
        <v>45</v>
      </c>
      <c r="F17" s="5" t="s">
        <v>94</v>
      </c>
      <c r="G17" s="7" t="s">
        <v>47</v>
      </c>
      <c r="H17" s="7" t="s">
        <v>95</v>
      </c>
      <c r="I17" s="5" t="s">
        <v>58</v>
      </c>
    </row>
    <row r="18" spans="1:9" ht="24" x14ac:dyDescent="0.3">
      <c r="A18" s="6" t="s">
        <v>96</v>
      </c>
      <c r="B18" s="5" t="s">
        <v>97</v>
      </c>
      <c r="C18" s="7" t="s">
        <v>85</v>
      </c>
      <c r="D18" s="5" t="s">
        <v>93</v>
      </c>
      <c r="E18" s="8" t="s">
        <v>45</v>
      </c>
      <c r="F18" s="5" t="s">
        <v>98</v>
      </c>
      <c r="G18" s="7" t="s">
        <v>47</v>
      </c>
      <c r="H18" s="7" t="s">
        <v>95</v>
      </c>
      <c r="I18" s="5" t="s">
        <v>58</v>
      </c>
    </row>
    <row r="19" spans="1:9" x14ac:dyDescent="0.3">
      <c r="A19" s="6" t="s">
        <v>99</v>
      </c>
      <c r="B19" s="5" t="s">
        <v>100</v>
      </c>
      <c r="C19" s="7" t="s">
        <v>79</v>
      </c>
      <c r="D19" s="5" t="s">
        <v>101</v>
      </c>
      <c r="E19" s="8" t="s">
        <v>45</v>
      </c>
      <c r="F19" s="5" t="s">
        <v>46</v>
      </c>
      <c r="G19" s="7" t="s">
        <v>62</v>
      </c>
      <c r="H19" s="7" t="s">
        <v>63</v>
      </c>
      <c r="I19" s="5" t="s">
        <v>22</v>
      </c>
    </row>
    <row r="20" spans="1:9" ht="24" x14ac:dyDescent="0.3">
      <c r="A20" s="6" t="s">
        <v>102</v>
      </c>
      <c r="B20" s="5" t="s">
        <v>103</v>
      </c>
      <c r="C20" s="7" t="s">
        <v>79</v>
      </c>
      <c r="D20" s="5" t="s">
        <v>53</v>
      </c>
      <c r="E20" s="8" t="s">
        <v>45</v>
      </c>
      <c r="F20" s="5" t="s">
        <v>46</v>
      </c>
      <c r="G20" s="7" t="s">
        <v>47</v>
      </c>
      <c r="H20" s="7" t="s">
        <v>48</v>
      </c>
      <c r="I20" s="5" t="s">
        <v>54</v>
      </c>
    </row>
    <row r="21" spans="1:9" ht="24" x14ac:dyDescent="0.3">
      <c r="A21" s="6" t="s">
        <v>104</v>
      </c>
      <c r="B21" s="5" t="s">
        <v>105</v>
      </c>
      <c r="C21" s="7" t="s">
        <v>79</v>
      </c>
      <c r="D21" s="5" t="s">
        <v>106</v>
      </c>
      <c r="E21" s="8" t="s">
        <v>45</v>
      </c>
      <c r="F21" s="5" t="s">
        <v>46</v>
      </c>
      <c r="G21" s="7" t="s">
        <v>47</v>
      </c>
      <c r="H21" s="7" t="s">
        <v>107</v>
      </c>
      <c r="I21" s="5" t="s">
        <v>108</v>
      </c>
    </row>
    <row r="23" spans="1:9" x14ac:dyDescent="0.3">
      <c r="A23" s="10" t="s">
        <v>109</v>
      </c>
    </row>
    <row r="24" spans="1:9" ht="63" x14ac:dyDescent="0.3">
      <c r="A24" s="4" t="s">
        <v>110</v>
      </c>
      <c r="B24" s="6">
        <f>COUNTA(A5:A21)</f>
        <v>17</v>
      </c>
      <c r="D24" s="11" t="s">
        <v>111</v>
      </c>
    </row>
    <row r="25" spans="1:9" ht="63" x14ac:dyDescent="0.3">
      <c r="A25" s="4" t="s">
        <v>112</v>
      </c>
      <c r="B25" s="6">
        <f>COUNTIF(C5:C21,"Scoring")</f>
        <v>4</v>
      </c>
      <c r="D25" s="11" t="s">
        <v>113</v>
      </c>
    </row>
    <row r="26" spans="1:9" ht="63" x14ac:dyDescent="0.3">
      <c r="A26" s="4" t="s">
        <v>114</v>
      </c>
      <c r="B26" s="6">
        <f>COUNTIF(C5:C21,"Narration")</f>
        <v>8</v>
      </c>
      <c r="D26" s="11" t="s">
        <v>115</v>
      </c>
    </row>
    <row r="27" spans="1:9" ht="63" x14ac:dyDescent="0.3">
      <c r="A27" s="4" t="s">
        <v>116</v>
      </c>
      <c r="B27" s="6">
        <f>COUNTIF(C5:C21,"Orchestration")</f>
        <v>5</v>
      </c>
      <c r="D27" s="11" t="s">
        <v>117</v>
      </c>
    </row>
    <row r="28" spans="1:9" ht="50.4" x14ac:dyDescent="0.3">
      <c r="A28" s="4" t="s">
        <v>118</v>
      </c>
      <c r="B28" s="6">
        <f>COUNTIF(E5:E21,"Implemented")</f>
        <v>16</v>
      </c>
      <c r="D28" s="11" t="s">
        <v>354</v>
      </c>
    </row>
    <row r="29" spans="1:9" ht="75.599999999999994" x14ac:dyDescent="0.3">
      <c r="A29" s="4" t="s">
        <v>119</v>
      </c>
      <c r="B29" s="9">
        <f>COUNTIF(E5:E21,"CONSTRAINED")</f>
        <v>1</v>
      </c>
      <c r="D29" s="11" t="s">
        <v>120</v>
      </c>
    </row>
    <row r="30" spans="1:9" ht="75.599999999999994" x14ac:dyDescent="0.3">
      <c r="A30" s="4" t="s">
        <v>121</v>
      </c>
      <c r="B30" s="6">
        <f>COUNTIF(E5:E21,"Outstanding")</f>
        <v>0</v>
      </c>
      <c r="D30" s="11" t="s">
        <v>122</v>
      </c>
    </row>
    <row r="31" spans="1:9" ht="50.4" x14ac:dyDescent="0.3">
      <c r="A31" s="4" t="s">
        <v>123</v>
      </c>
      <c r="B31" s="12">
        <f>IF(B24=0,0,B28/B24)</f>
        <v>0.94117647058823528</v>
      </c>
      <c r="D31" s="11" t="s">
        <v>124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selection activeCell="A4" sqref="A4"/>
    </sheetView>
  </sheetViews>
  <sheetFormatPr defaultRowHeight="14.4" x14ac:dyDescent="0.3"/>
  <cols>
    <col min="1" max="1" width="10" customWidth="1"/>
    <col min="2" max="2" width="32" customWidth="1"/>
    <col min="3" max="3" width="16" customWidth="1"/>
    <col min="4" max="4" width="44" customWidth="1"/>
    <col min="5" max="5" width="56" customWidth="1"/>
    <col min="6" max="6" width="44" customWidth="1"/>
    <col min="7" max="7" width="36" customWidth="1"/>
    <col min="8" max="8" width="22" customWidth="1"/>
    <col min="9" max="9" width="18" customWidth="1"/>
  </cols>
  <sheetData>
    <row r="1" spans="1:9" ht="17.399999999999999" x14ac:dyDescent="0.3">
      <c r="A1" s="1" t="s">
        <v>125</v>
      </c>
    </row>
    <row r="2" spans="1:9" x14ac:dyDescent="0.3">
      <c r="A2" s="2" t="s">
        <v>126</v>
      </c>
    </row>
    <row r="4" spans="1:9" ht="26.4" x14ac:dyDescent="0.3">
      <c r="A4" s="3" t="s">
        <v>33</v>
      </c>
      <c r="B4" s="3" t="s">
        <v>127</v>
      </c>
      <c r="C4" s="3" t="s">
        <v>35</v>
      </c>
      <c r="D4" s="3" t="s">
        <v>128</v>
      </c>
      <c r="E4" s="3" t="s">
        <v>129</v>
      </c>
      <c r="F4" s="3" t="s">
        <v>130</v>
      </c>
      <c r="G4" s="3" t="s">
        <v>131</v>
      </c>
      <c r="H4" s="3" t="s">
        <v>132</v>
      </c>
      <c r="I4" s="3" t="s">
        <v>133</v>
      </c>
    </row>
    <row r="5" spans="1:9" ht="72" x14ac:dyDescent="0.3">
      <c r="A5" s="9" t="s">
        <v>65</v>
      </c>
      <c r="B5" s="13" t="s">
        <v>134</v>
      </c>
      <c r="C5" s="7" t="s">
        <v>135</v>
      </c>
      <c r="D5" s="5" t="s">
        <v>136</v>
      </c>
      <c r="E5" s="5" t="s">
        <v>137</v>
      </c>
      <c r="F5" s="5" t="s">
        <v>138</v>
      </c>
      <c r="G5" s="5" t="s">
        <v>139</v>
      </c>
      <c r="H5" s="6" t="s">
        <v>140</v>
      </c>
      <c r="I5" s="7"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A4" sqref="A4"/>
    </sheetView>
  </sheetViews>
  <sheetFormatPr defaultRowHeight="14.4" x14ac:dyDescent="0.3"/>
  <cols>
    <col min="1" max="1" width="12" customWidth="1"/>
    <col min="2" max="2" width="36" customWidth="1"/>
    <col min="3" max="3" width="44" customWidth="1"/>
    <col min="4" max="4" width="68" customWidth="1"/>
  </cols>
  <sheetData>
    <row r="1" spans="1:4" ht="17.399999999999999" x14ac:dyDescent="0.3">
      <c r="A1" s="1" t="s">
        <v>142</v>
      </c>
    </row>
    <row r="2" spans="1:4" x14ac:dyDescent="0.3">
      <c r="A2" s="2" t="s">
        <v>143</v>
      </c>
    </row>
    <row r="4" spans="1:4" x14ac:dyDescent="0.3">
      <c r="A4" s="3" t="s">
        <v>33</v>
      </c>
      <c r="B4" s="3" t="s">
        <v>127</v>
      </c>
      <c r="C4" s="3" t="s">
        <v>144</v>
      </c>
      <c r="D4" s="3" t="s">
        <v>145</v>
      </c>
    </row>
    <row r="5" spans="1:4" x14ac:dyDescent="0.3">
      <c r="A5" s="6" t="s">
        <v>41</v>
      </c>
      <c r="B5" s="13" t="s">
        <v>146</v>
      </c>
      <c r="C5" s="5" t="s">
        <v>147</v>
      </c>
      <c r="D5" s="5" t="s">
        <v>148</v>
      </c>
    </row>
    <row r="6" spans="1:4" x14ac:dyDescent="0.3">
      <c r="A6" s="6" t="s">
        <v>49</v>
      </c>
      <c r="B6" s="13" t="s">
        <v>149</v>
      </c>
      <c r="C6" s="5" t="s">
        <v>147</v>
      </c>
      <c r="D6" s="5" t="s">
        <v>150</v>
      </c>
    </row>
    <row r="7" spans="1:4" ht="24" x14ac:dyDescent="0.3">
      <c r="A7" s="6" t="s">
        <v>51</v>
      </c>
      <c r="B7" s="13" t="s">
        <v>151</v>
      </c>
      <c r="C7" s="5" t="s">
        <v>152</v>
      </c>
      <c r="D7" s="5" t="s">
        <v>153</v>
      </c>
    </row>
    <row r="8" spans="1:4" x14ac:dyDescent="0.3">
      <c r="A8" s="6" t="s">
        <v>55</v>
      </c>
      <c r="B8" s="13" t="s">
        <v>154</v>
      </c>
      <c r="C8" s="5" t="s">
        <v>155</v>
      </c>
      <c r="D8" s="5" t="s">
        <v>156</v>
      </c>
    </row>
    <row r="9" spans="1:4" x14ac:dyDescent="0.3">
      <c r="A9" s="6" t="s">
        <v>59</v>
      </c>
      <c r="B9" s="13" t="s">
        <v>157</v>
      </c>
      <c r="C9" s="5" t="s">
        <v>158</v>
      </c>
      <c r="D9" s="5" t="s">
        <v>159</v>
      </c>
    </row>
    <row r="10" spans="1:4" x14ac:dyDescent="0.3">
      <c r="A10" s="6" t="s">
        <v>65</v>
      </c>
      <c r="B10" s="13" t="s">
        <v>160</v>
      </c>
      <c r="C10" s="5" t="s">
        <v>161</v>
      </c>
      <c r="D10" s="5" t="s">
        <v>162</v>
      </c>
    </row>
    <row r="11" spans="1:4" ht="24" x14ac:dyDescent="0.3">
      <c r="A11" s="6" t="s">
        <v>72</v>
      </c>
      <c r="B11" s="13" t="s">
        <v>163</v>
      </c>
      <c r="C11" s="5" t="s">
        <v>155</v>
      </c>
      <c r="D11" s="5" t="s">
        <v>164</v>
      </c>
    </row>
    <row r="12" spans="1:4" x14ac:dyDescent="0.3">
      <c r="A12" s="6" t="s">
        <v>74</v>
      </c>
      <c r="B12" s="13" t="s">
        <v>165</v>
      </c>
      <c r="C12" s="5" t="s">
        <v>155</v>
      </c>
      <c r="D12" s="5" t="s">
        <v>166</v>
      </c>
    </row>
    <row r="13" spans="1:4" ht="25.2" x14ac:dyDescent="0.3">
      <c r="A13" s="6" t="s">
        <v>77</v>
      </c>
      <c r="B13" s="13" t="s">
        <v>167</v>
      </c>
      <c r="C13" s="5" t="s">
        <v>147</v>
      </c>
      <c r="D13" s="5" t="s">
        <v>168</v>
      </c>
    </row>
    <row r="14" spans="1:4" x14ac:dyDescent="0.3">
      <c r="A14" s="6" t="s">
        <v>80</v>
      </c>
      <c r="B14" s="13" t="s">
        <v>169</v>
      </c>
      <c r="C14" s="5" t="s">
        <v>170</v>
      </c>
      <c r="D14" s="5" t="s">
        <v>171</v>
      </c>
    </row>
    <row r="15" spans="1:4" x14ac:dyDescent="0.3">
      <c r="A15" s="6" t="s">
        <v>83</v>
      </c>
      <c r="B15" s="13" t="s">
        <v>172</v>
      </c>
      <c r="C15" s="5" t="s">
        <v>173</v>
      </c>
      <c r="D15" s="5" t="s">
        <v>174</v>
      </c>
    </row>
    <row r="16" spans="1:4" ht="25.2" x14ac:dyDescent="0.3">
      <c r="A16" s="6" t="s">
        <v>88</v>
      </c>
      <c r="B16" s="13" t="s">
        <v>175</v>
      </c>
      <c r="C16" s="5" t="s">
        <v>173</v>
      </c>
      <c r="D16" s="5" t="s">
        <v>176</v>
      </c>
    </row>
    <row r="17" spans="1:4" x14ac:dyDescent="0.3">
      <c r="A17" s="6" t="s">
        <v>91</v>
      </c>
      <c r="B17" s="13" t="s">
        <v>177</v>
      </c>
      <c r="C17" s="5" t="s">
        <v>178</v>
      </c>
      <c r="D17" s="5" t="s">
        <v>179</v>
      </c>
    </row>
    <row r="18" spans="1:4" ht="25.2" x14ac:dyDescent="0.3">
      <c r="A18" s="6" t="s">
        <v>96</v>
      </c>
      <c r="B18" s="13" t="s">
        <v>180</v>
      </c>
      <c r="C18" s="5" t="s">
        <v>178</v>
      </c>
      <c r="D18" s="5" t="s">
        <v>181</v>
      </c>
    </row>
    <row r="19" spans="1:4" ht="25.2" x14ac:dyDescent="0.3">
      <c r="A19" s="6" t="s">
        <v>99</v>
      </c>
      <c r="B19" s="13" t="s">
        <v>182</v>
      </c>
      <c r="C19" s="5" t="s">
        <v>183</v>
      </c>
      <c r="D19" s="5" t="s">
        <v>184</v>
      </c>
    </row>
    <row r="20" spans="1:4" x14ac:dyDescent="0.3">
      <c r="A20" s="6" t="s">
        <v>102</v>
      </c>
      <c r="B20" s="13" t="s">
        <v>185</v>
      </c>
      <c r="C20" s="5" t="s">
        <v>152</v>
      </c>
      <c r="D20" s="5" t="s">
        <v>186</v>
      </c>
    </row>
    <row r="21" spans="1:4" x14ac:dyDescent="0.3">
      <c r="A21" s="6" t="s">
        <v>104</v>
      </c>
      <c r="B21" s="13" t="s">
        <v>187</v>
      </c>
      <c r="C21" s="5" t="s">
        <v>188</v>
      </c>
      <c r="D21" s="5"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selection activeCell="A4" sqref="A4"/>
    </sheetView>
  </sheetViews>
  <sheetFormatPr defaultRowHeight="14.4" x14ac:dyDescent="0.3"/>
  <cols>
    <col min="1" max="1" width="10" customWidth="1"/>
    <col min="2" max="2" width="32" customWidth="1"/>
    <col min="3" max="4" width="22" customWidth="1"/>
    <col min="5" max="5" width="26" customWidth="1"/>
    <col min="6" max="6" width="24" customWidth="1"/>
    <col min="7" max="7" width="32" customWidth="1"/>
    <col min="8" max="8" width="48" customWidth="1"/>
    <col min="9" max="9" width="18" customWidth="1"/>
  </cols>
  <sheetData>
    <row r="1" spans="1:9" ht="17.399999999999999" x14ac:dyDescent="0.3">
      <c r="A1" s="1" t="s">
        <v>190</v>
      </c>
    </row>
    <row r="2" spans="1:9" x14ac:dyDescent="0.3">
      <c r="A2" s="2" t="s">
        <v>191</v>
      </c>
    </row>
    <row r="4" spans="1:9" ht="26.4" x14ac:dyDescent="0.3">
      <c r="A4" s="3" t="s">
        <v>192</v>
      </c>
      <c r="B4" s="3" t="s">
        <v>193</v>
      </c>
      <c r="C4" s="3" t="s">
        <v>194</v>
      </c>
      <c r="D4" s="3" t="s">
        <v>195</v>
      </c>
      <c r="E4" s="3" t="s">
        <v>196</v>
      </c>
      <c r="F4" s="3" t="s">
        <v>197</v>
      </c>
      <c r="G4" s="3" t="s">
        <v>198</v>
      </c>
      <c r="H4" s="3" t="s">
        <v>199</v>
      </c>
      <c r="I4" s="3" t="s">
        <v>18</v>
      </c>
    </row>
    <row r="5" spans="1:9" ht="25.2" x14ac:dyDescent="0.3">
      <c r="A5" s="6" t="s">
        <v>200</v>
      </c>
      <c r="B5" s="13" t="s">
        <v>201</v>
      </c>
      <c r="C5" s="5" t="s">
        <v>202</v>
      </c>
      <c r="D5" s="5" t="s">
        <v>203</v>
      </c>
      <c r="E5" s="5" t="s">
        <v>204</v>
      </c>
      <c r="F5" s="7" t="s">
        <v>205</v>
      </c>
      <c r="G5" s="5" t="s">
        <v>206</v>
      </c>
      <c r="H5" s="5" t="s">
        <v>207</v>
      </c>
      <c r="I5" s="8" t="s">
        <v>208</v>
      </c>
    </row>
    <row r="6" spans="1:9" ht="25.2" x14ac:dyDescent="0.3">
      <c r="A6" s="6" t="s">
        <v>209</v>
      </c>
      <c r="B6" s="13" t="s">
        <v>210</v>
      </c>
      <c r="C6" s="5" t="s">
        <v>202</v>
      </c>
      <c r="D6" s="5" t="s">
        <v>211</v>
      </c>
      <c r="E6" s="5" t="s">
        <v>212</v>
      </c>
      <c r="F6" s="7" t="s">
        <v>213</v>
      </c>
      <c r="G6" s="5" t="s">
        <v>214</v>
      </c>
      <c r="H6" s="5" t="s">
        <v>215</v>
      </c>
      <c r="I6" s="8" t="s">
        <v>208</v>
      </c>
    </row>
    <row r="7" spans="1:9" ht="25.2" x14ac:dyDescent="0.3">
      <c r="A7" s="6" t="s">
        <v>216</v>
      </c>
      <c r="B7" s="13" t="s">
        <v>217</v>
      </c>
      <c r="C7" s="5" t="s">
        <v>202</v>
      </c>
      <c r="D7" s="5" t="s">
        <v>218</v>
      </c>
      <c r="E7" s="5" t="s">
        <v>219</v>
      </c>
      <c r="F7" s="7" t="s">
        <v>220</v>
      </c>
      <c r="G7" s="5" t="s">
        <v>221</v>
      </c>
      <c r="H7" s="5" t="s">
        <v>222</v>
      </c>
      <c r="I7" s="8" t="s">
        <v>208</v>
      </c>
    </row>
    <row r="8" spans="1:9" ht="25.2" x14ac:dyDescent="0.3">
      <c r="A8" s="6" t="s">
        <v>223</v>
      </c>
      <c r="B8" s="13" t="s">
        <v>224</v>
      </c>
      <c r="C8" s="5" t="s">
        <v>202</v>
      </c>
      <c r="D8" s="5" t="s">
        <v>225</v>
      </c>
      <c r="E8" s="5" t="s">
        <v>219</v>
      </c>
      <c r="F8" s="7" t="s">
        <v>226</v>
      </c>
      <c r="G8" s="5" t="s">
        <v>227</v>
      </c>
      <c r="H8" s="5" t="s">
        <v>228</v>
      </c>
      <c r="I8" s="8" t="s">
        <v>208</v>
      </c>
    </row>
    <row r="9" spans="1:9" ht="36" x14ac:dyDescent="0.3">
      <c r="A9" s="6" t="s">
        <v>229</v>
      </c>
      <c r="B9" s="13" t="s">
        <v>230</v>
      </c>
      <c r="C9" s="5" t="s">
        <v>231</v>
      </c>
      <c r="D9" s="5" t="s">
        <v>232</v>
      </c>
      <c r="E9" s="5" t="s">
        <v>233</v>
      </c>
      <c r="F9" s="7" t="s">
        <v>234</v>
      </c>
      <c r="G9" s="5" t="s">
        <v>235</v>
      </c>
      <c r="H9" s="5" t="s">
        <v>236</v>
      </c>
      <c r="I9" s="8" t="s">
        <v>237</v>
      </c>
    </row>
    <row r="10" spans="1:9" ht="25.2" x14ac:dyDescent="0.3">
      <c r="A10" s="6" t="s">
        <v>238</v>
      </c>
      <c r="B10" s="13" t="s">
        <v>239</v>
      </c>
      <c r="C10" s="5" t="s">
        <v>202</v>
      </c>
      <c r="D10" s="5" t="s">
        <v>240</v>
      </c>
      <c r="E10" s="5" t="s">
        <v>241</v>
      </c>
      <c r="F10" s="7" t="s">
        <v>242</v>
      </c>
      <c r="G10" s="5" t="s">
        <v>243</v>
      </c>
      <c r="H10" s="5" t="s">
        <v>244</v>
      </c>
      <c r="I10" s="8" t="s">
        <v>245</v>
      </c>
    </row>
    <row r="11" spans="1:9" ht="25.2" x14ac:dyDescent="0.3">
      <c r="A11" s="6" t="s">
        <v>246</v>
      </c>
      <c r="B11" s="13" t="s">
        <v>247</v>
      </c>
      <c r="C11" s="5" t="s">
        <v>248</v>
      </c>
      <c r="D11" s="5" t="s">
        <v>249</v>
      </c>
      <c r="E11" s="5" t="s">
        <v>250</v>
      </c>
      <c r="F11" s="7" t="s">
        <v>242</v>
      </c>
      <c r="G11" s="5" t="s">
        <v>251</v>
      </c>
      <c r="H11" s="5" t="s">
        <v>252</v>
      </c>
      <c r="I11" s="14" t="s">
        <v>253</v>
      </c>
    </row>
    <row r="12" spans="1:9" ht="25.2" x14ac:dyDescent="0.3">
      <c r="A12" s="6" t="s">
        <v>254</v>
      </c>
      <c r="B12" s="13" t="s">
        <v>255</v>
      </c>
      <c r="C12" s="5" t="s">
        <v>256</v>
      </c>
      <c r="D12" s="5" t="s">
        <v>257</v>
      </c>
      <c r="E12" s="5" t="s">
        <v>258</v>
      </c>
      <c r="F12" s="7" t="s">
        <v>259</v>
      </c>
      <c r="G12" s="5" t="s">
        <v>260</v>
      </c>
      <c r="H12" s="5" t="s">
        <v>261</v>
      </c>
      <c r="I12" s="14" t="s">
        <v>262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
  <sheetViews>
    <sheetView workbookViewId="0"/>
  </sheetViews>
  <sheetFormatPr defaultRowHeight="14.4" x14ac:dyDescent="0.3"/>
  <cols>
    <col min="1" max="1" width="14" customWidth="1"/>
    <col min="2" max="2" width="12" customWidth="1"/>
    <col min="3" max="3" width="22" customWidth="1"/>
    <col min="4" max="4" width="26" customWidth="1"/>
    <col min="5" max="5" width="14" customWidth="1"/>
    <col min="6" max="6" width="44" customWidth="1"/>
    <col min="7" max="7" width="32" customWidth="1"/>
    <col min="8" max="8" width="26" customWidth="1"/>
    <col min="9" max="9" width="40" customWidth="1"/>
    <col min="10" max="10" width="44" customWidth="1"/>
    <col min="11" max="11" width="18" customWidth="1"/>
  </cols>
  <sheetData>
    <row r="1" spans="1:11" ht="17.399999999999999" x14ac:dyDescent="0.3">
      <c r="A1" s="1" t="s">
        <v>263</v>
      </c>
    </row>
    <row r="2" spans="1:11" x14ac:dyDescent="0.3">
      <c r="A2" s="2" t="s">
        <v>264</v>
      </c>
    </row>
    <row r="4" spans="1:11" ht="26.4" x14ac:dyDescent="0.3">
      <c r="A4" s="3" t="s">
        <v>265</v>
      </c>
      <c r="B4" s="3" t="s">
        <v>14</v>
      </c>
      <c r="C4" s="3" t="s">
        <v>266</v>
      </c>
      <c r="D4" s="3" t="s">
        <v>267</v>
      </c>
      <c r="E4" s="3" t="s">
        <v>268</v>
      </c>
      <c r="F4" s="3" t="s">
        <v>269</v>
      </c>
      <c r="G4" s="3" t="s">
        <v>270</v>
      </c>
      <c r="H4" s="3" t="s">
        <v>271</v>
      </c>
      <c r="I4" s="3" t="s">
        <v>272</v>
      </c>
      <c r="J4" s="3" t="s">
        <v>273</v>
      </c>
      <c r="K4" s="3" t="s">
        <v>18</v>
      </c>
    </row>
    <row r="5" spans="1:11" ht="48" x14ac:dyDescent="0.3">
      <c r="A5" s="6" t="s">
        <v>274</v>
      </c>
      <c r="B5" s="7" t="s">
        <v>275</v>
      </c>
      <c r="C5" s="5" t="s">
        <v>276</v>
      </c>
      <c r="D5" s="5" t="s">
        <v>277</v>
      </c>
      <c r="E5" s="14" t="s">
        <v>278</v>
      </c>
      <c r="F5" s="5" t="s">
        <v>279</v>
      </c>
      <c r="G5" s="5" t="s">
        <v>280</v>
      </c>
      <c r="H5" s="5" t="s">
        <v>281</v>
      </c>
      <c r="I5" s="5" t="s">
        <v>282</v>
      </c>
      <c r="J5" s="5" t="s">
        <v>283</v>
      </c>
      <c r="K5" s="8" t="s">
        <v>284</v>
      </c>
    </row>
    <row r="6" spans="1:11" ht="48" x14ac:dyDescent="0.3">
      <c r="A6" s="6" t="s">
        <v>285</v>
      </c>
      <c r="B6" s="7" t="s">
        <v>286</v>
      </c>
      <c r="C6" s="5" t="s">
        <v>287</v>
      </c>
      <c r="D6" s="5" t="s">
        <v>288</v>
      </c>
      <c r="E6" s="9" t="s">
        <v>289</v>
      </c>
      <c r="F6" s="5" t="s">
        <v>290</v>
      </c>
      <c r="G6" s="5" t="s">
        <v>291</v>
      </c>
      <c r="H6" s="5" t="s">
        <v>292</v>
      </c>
      <c r="I6" s="5" t="s">
        <v>293</v>
      </c>
      <c r="J6" s="5" t="s">
        <v>294</v>
      </c>
      <c r="K6" s="8" t="s">
        <v>295</v>
      </c>
    </row>
    <row r="7" spans="1:11" ht="36" x14ac:dyDescent="0.3">
      <c r="A7" s="6" t="s">
        <v>296</v>
      </c>
      <c r="B7" s="7" t="s">
        <v>297</v>
      </c>
      <c r="C7" s="5" t="s">
        <v>298</v>
      </c>
      <c r="D7" s="5" t="s">
        <v>299</v>
      </c>
      <c r="E7" s="9" t="s">
        <v>289</v>
      </c>
      <c r="F7" s="5" t="s">
        <v>300</v>
      </c>
      <c r="G7" s="5" t="s">
        <v>301</v>
      </c>
      <c r="H7" s="5" t="s">
        <v>302</v>
      </c>
      <c r="I7" s="5" t="s">
        <v>303</v>
      </c>
      <c r="J7" s="5" t="s">
        <v>304</v>
      </c>
      <c r="K7" s="8" t="s">
        <v>284</v>
      </c>
    </row>
    <row r="8" spans="1:11" ht="48" x14ac:dyDescent="0.3">
      <c r="A8" s="6" t="s">
        <v>305</v>
      </c>
      <c r="B8" s="7" t="s">
        <v>306</v>
      </c>
      <c r="C8" s="5" t="s">
        <v>64</v>
      </c>
      <c r="D8" s="5" t="s">
        <v>307</v>
      </c>
      <c r="E8" s="15" t="s">
        <v>308</v>
      </c>
      <c r="F8" s="5" t="s">
        <v>309</v>
      </c>
      <c r="G8" s="5" t="s">
        <v>310</v>
      </c>
      <c r="H8" s="5" t="s">
        <v>311</v>
      </c>
      <c r="I8" s="5" t="s">
        <v>312</v>
      </c>
      <c r="J8" s="5" t="s">
        <v>313</v>
      </c>
      <c r="K8" s="8" t="s">
        <v>284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
  <sheetViews>
    <sheetView workbookViewId="0"/>
  </sheetViews>
  <sheetFormatPr defaultRowHeight="14.4" x14ac:dyDescent="0.3"/>
  <cols>
    <col min="1" max="1" width="14" customWidth="1"/>
    <col min="2" max="2" width="28" customWidth="1"/>
    <col min="3" max="3" width="22" customWidth="1"/>
    <col min="4" max="4" width="36" customWidth="1"/>
    <col min="5" max="5" width="44" customWidth="1"/>
    <col min="6" max="6" width="46" customWidth="1"/>
    <col min="7" max="7" width="24" customWidth="1"/>
    <col min="8" max="8" width="14" customWidth="1"/>
    <col min="9" max="10" width="18" customWidth="1"/>
  </cols>
  <sheetData>
    <row r="1" spans="1:10" ht="17.399999999999999" x14ac:dyDescent="0.3">
      <c r="A1" s="1" t="s">
        <v>314</v>
      </c>
    </row>
    <row r="2" spans="1:10" x14ac:dyDescent="0.3">
      <c r="A2" s="2" t="s">
        <v>315</v>
      </c>
    </row>
    <row r="4" spans="1:10" ht="26.4" x14ac:dyDescent="0.3">
      <c r="A4" s="3" t="s">
        <v>316</v>
      </c>
      <c r="B4" s="3" t="s">
        <v>317</v>
      </c>
      <c r="C4" s="3" t="s">
        <v>318</v>
      </c>
      <c r="D4" s="3" t="s">
        <v>319</v>
      </c>
      <c r="E4" s="3" t="s">
        <v>320</v>
      </c>
      <c r="F4" s="3" t="s">
        <v>321</v>
      </c>
      <c r="G4" s="3" t="s">
        <v>322</v>
      </c>
      <c r="H4" s="3" t="s">
        <v>323</v>
      </c>
      <c r="I4" s="3" t="s">
        <v>324</v>
      </c>
      <c r="J4" s="3" t="s">
        <v>18</v>
      </c>
    </row>
    <row r="5" spans="1:10" ht="48" x14ac:dyDescent="0.3">
      <c r="A5" s="6" t="s">
        <v>325</v>
      </c>
      <c r="B5" s="5" t="s">
        <v>326</v>
      </c>
      <c r="C5" s="5" t="s">
        <v>71</v>
      </c>
      <c r="D5" s="5" t="s">
        <v>327</v>
      </c>
      <c r="E5" s="5" t="s">
        <v>328</v>
      </c>
      <c r="F5" s="5" t="s">
        <v>329</v>
      </c>
      <c r="G5" s="6" t="s">
        <v>330</v>
      </c>
      <c r="H5" s="7" t="s">
        <v>331</v>
      </c>
      <c r="I5" s="7" t="s">
        <v>332</v>
      </c>
      <c r="J5" s="15" t="s">
        <v>333</v>
      </c>
    </row>
    <row r="6" spans="1:10" ht="48" x14ac:dyDescent="0.3">
      <c r="A6" s="6" t="s">
        <v>334</v>
      </c>
      <c r="B6" s="5" t="s">
        <v>335</v>
      </c>
      <c r="C6" s="5" t="s">
        <v>336</v>
      </c>
      <c r="D6" s="5" t="s">
        <v>337</v>
      </c>
      <c r="E6" s="5" t="s">
        <v>338</v>
      </c>
      <c r="F6" s="5" t="s">
        <v>339</v>
      </c>
      <c r="G6" s="6" t="s">
        <v>340</v>
      </c>
      <c r="H6" s="7" t="s">
        <v>341</v>
      </c>
      <c r="I6" s="7" t="s">
        <v>342</v>
      </c>
      <c r="J6" s="15" t="s">
        <v>343</v>
      </c>
    </row>
    <row r="7" spans="1:10" ht="36" x14ac:dyDescent="0.3">
      <c r="A7" s="6" t="s">
        <v>344</v>
      </c>
      <c r="B7" s="5" t="s">
        <v>345</v>
      </c>
      <c r="C7" s="5" t="s">
        <v>346</v>
      </c>
      <c r="D7" s="5" t="s">
        <v>347</v>
      </c>
      <c r="E7" s="5" t="s">
        <v>348</v>
      </c>
      <c r="F7" s="5" t="s">
        <v>349</v>
      </c>
      <c r="G7" s="6" t="s">
        <v>350</v>
      </c>
      <c r="H7" s="7" t="s">
        <v>351</v>
      </c>
      <c r="I7" s="7" t="s">
        <v>352</v>
      </c>
      <c r="J7" s="15" t="s">
        <v>353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VERSION-CONTROL</vt:lpstr>
      <vt:lpstr>CONTROL-STATUS</vt:lpstr>
      <vt:lpstr>CONSTRAINTS</vt:lpstr>
      <vt:lpstr>POLICY-TRACEABILITY</vt:lpstr>
      <vt:lpstr>APPROVED-TOOLS</vt:lpstr>
      <vt:lpstr>BREACH-INCIDENT-LOG</vt:lpstr>
      <vt:lpstr>EXCEPTION-REGISTER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Rity Shree</cp:lastModifiedBy>
  <dcterms:created xsi:type="dcterms:W3CDTF">2026-09-14T14:43:54Z</dcterms:created>
  <dcterms:modified xsi:type="dcterms:W3CDTF">2026-09-16T17:32:20Z</dcterms:modified>
</cp:coreProperties>
</file>