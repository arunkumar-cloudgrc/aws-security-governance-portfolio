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areer\Portfolio\Project4\Artifacts\"/>
    </mc:Choice>
  </mc:AlternateContent>
  <xr:revisionPtr revIDLastSave="0" documentId="13_ncr:1_{AEE5B288-D49B-4BBB-819C-74E2D36AED5D}" xr6:coauthVersionLast="47" xr6:coauthVersionMax="47" xr10:uidLastSave="{00000000-0000-0000-0000-000000000000}"/>
  <bookViews>
    <workbookView xWindow="22932" yWindow="-108" windowWidth="23256" windowHeight="12720" tabRatio="500" xr2:uid="{00000000-000D-0000-FFFF-FFFF00000000}"/>
  </bookViews>
  <sheets>
    <sheet name="README" sheetId="1" r:id="rId1"/>
    <sheet name="GATE-LOG" sheetId="2" r:id="rId2"/>
    <sheet name="DECISION-DETAIL" sheetId="3" r:id="rId3"/>
    <sheet name="ATTENDANCE-AND-AUTHORITY" sheetId="4" r:id="rId4"/>
    <sheet name="CONTROL-CHECK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5" l="1"/>
  <c r="C9" i="5"/>
  <c r="C8" i="5"/>
  <c r="C7" i="5"/>
  <c r="C6" i="5"/>
  <c r="C5" i="5"/>
  <c r="B19" i="2"/>
  <c r="B18" i="2"/>
  <c r="B17" i="2"/>
  <c r="B16" i="2"/>
</calcChain>
</file>

<file path=xl/sharedStrings.xml><?xml version="1.0" encoding="utf-8"?>
<sst xmlns="http://schemas.openxmlformats.org/spreadsheetml/2006/main" count="273" uniqueCount="175">
  <si>
    <t>Gate Approval and Sign-off Log</t>
  </si>
  <si>
    <t>Credit Decisioning Assistant (CDA) — Artefact A-28, v1.1 | Authority: AI_Governance_Committee_Charter (A-26) | Governance design artefact, worked example</t>
  </si>
  <si>
    <t>Field</t>
  </si>
  <si>
    <t>Detail</t>
  </si>
  <si>
    <t>Purpose</t>
  </si>
  <si>
    <t>Why this exists separately</t>
  </si>
  <si>
    <t>Implementation_Roadmap (A-27) records what is planned and when. It does not record who held decision authority at each gate boundary or what they decided. A gate that everyone passes and nobody signs is not a gate.</t>
  </si>
  <si>
    <t>Decision authority</t>
  </si>
  <si>
    <t>Per AI_Governance_Committee_Charter (A-26) §3: Gates 1, 2, 4 and 7 are approved by the AI Governance Committee. Gates 3 and 6 require an additional independent security sign-off. Gate 5 (go-live) requires Committee approval plus the accountable business owner. Gate 8 requires Committee approval plus records-retention confirmation.</t>
  </si>
  <si>
    <t>Four-eyes rule</t>
  </si>
  <si>
    <t>No gate may be approved by the same individual who produced the evidence for it. Every APPROVED row must name a Reviewer distinct from the Evidence owner. Rows breaching this are flagged by the CONTROL-CHECKS tab.</t>
  </si>
  <si>
    <t>Blocked gates</t>
  </si>
  <si>
    <t>A BLOCKED decision is a first-class outcome, not an exception. It must name the blocking finding, the risk ID, and remain in the log permanently after release — superseded rows are never deleted.</t>
  </si>
  <si>
    <t>Retention</t>
  </si>
  <si>
    <t>Retained for the operational life of the system plus 7 years, per MAS TRM 11.2.3 and the S3 Object Lock configuration applied in Project 1.</t>
  </si>
  <si>
    <t>Row 3 of Gate 3 is the block. It is retained above the release row, not replaced by it.</t>
  </si>
  <si>
    <t>Seq</t>
  </si>
  <si>
    <t>Gate</t>
  </si>
  <si>
    <t>Gate name</t>
  </si>
  <si>
    <t>Decision</t>
  </si>
  <si>
    <t>Decision date</t>
  </si>
  <si>
    <t>Evidence owner</t>
  </si>
  <si>
    <t>Approver / Chair</t>
  </si>
  <si>
    <t>Independent reviewer</t>
  </si>
  <si>
    <t>Evidence referenced</t>
  </si>
  <si>
    <t>Finding / risk ID</t>
  </si>
  <si>
    <t>Conditions attached</t>
  </si>
  <si>
    <t>Next review due</t>
  </si>
  <si>
    <t>D1</t>
  </si>
  <si>
    <t>Purpose &amp; Risk Screening</t>
  </si>
  <si>
    <t>APPROVED</t>
  </si>
  <si>
    <t>2026-01-28</t>
  </si>
  <si>
    <t>A. Kumar</t>
  </si>
  <si>
    <t>AI Governance Committee (Chair: Head of Model Risk)</t>
  </si>
  <si>
    <t>Compliance representative</t>
  </si>
  <si>
    <t>AI_Use_Case_Inventory (A-01); AI_Risk_Classification (A-03); AI_System_Profile.docx</t>
  </si>
  <si>
    <t>—</t>
  </si>
  <si>
    <t>Approved as EU AI Act Annex III(5)(b) high-risk. Full Chapter III obligations apply from Gate 2 onward.</t>
  </si>
  <si>
    <t>D2</t>
  </si>
  <si>
    <t>Data Governance &amp; Bias Testing</t>
  </si>
  <si>
    <t>BLOCKED</t>
  </si>
  <si>
    <t>2026-02-17</t>
  </si>
  <si>
    <t>Model Risk reviewer</t>
  </si>
  <si>
    <t>Algorithmic_Explainability_and_Bias_Testing_Report (A-15) BFT-002; Data_Lineage_and_Provenance (A-14)</t>
  </si>
  <si>
    <t>R-11 (Critical)</t>
  </si>
  <si>
    <t>Progression to Gate 3 blocked. Selection rate ratio 0.67 against a 0.80 threshold. Remediation and re-test required before reconsideration.</t>
  </si>
  <si>
    <t>Re-submission</t>
  </si>
  <si>
    <t>APPROVED (released)</t>
  </si>
  <si>
    <t>2026-03-04</t>
  </si>
  <si>
    <t>Algorithmic_Explainability_and_Bias_Testing_Report (A-15) BFT-008 re-test; Risk_Treatment_Plan (A-11) R-11 closure</t>
  </si>
  <si>
    <t>R-11 closed</t>
  </si>
  <si>
    <t>Released on condition that quarterly disparity re-testing (BFT-009) is scheduled and that postal code remains excluded from retrieval metadata.</t>
  </si>
  <si>
    <t>Gate 7 — 2026-06-30</t>
  </si>
  <si>
    <t>D3</t>
  </si>
  <si>
    <t>Security &amp; Safety</t>
  </si>
  <si>
    <t>2026-03-11</t>
  </si>
  <si>
    <t>Head of Security Architecture</t>
  </si>
  <si>
    <t>GenAI_Policy_Compliance_Tracker (A-24) GDR-01 to GDR-06; AI_FMEA (A-10); ApplyGuardrail test evidence</t>
  </si>
  <si>
    <t>R-01 to R-04 closed</t>
  </si>
  <si>
    <t>All six guardrail controls verified active and adversarially tested. Guardrail version 1 published and frozen.</t>
  </si>
  <si>
    <t>D4</t>
  </si>
  <si>
    <t>Human Oversight &amp; Model Validation</t>
  </si>
  <si>
    <t>2026-03-18</t>
  </si>
  <si>
    <t>Loan Ops lead</t>
  </si>
  <si>
    <t>Model_Card (A-19); AI_Ethics_and_Responsible_Use_Policy (A-20); BFT-007</t>
  </si>
  <si>
    <t>Approved on condition that no recommendation is actioned without loan officer confirmation. Human override must be logged.</t>
  </si>
  <si>
    <t>D5</t>
  </si>
  <si>
    <t>Go-Live / Deployment Approval</t>
  </si>
  <si>
    <t>2026-03-25</t>
  </si>
  <si>
    <t>AI Governance Committee + Head of Retail Lending (accountable owner)</t>
  </si>
  <si>
    <t>IAM Deny-without-guardrail proof; grounded invocation trace; AI_System_Profile (A-04) §4</t>
  </si>
  <si>
    <t>Go-live approved for pilot population only (500 applications). Full rollout requires a separate Gate 5 decision.</t>
  </si>
  <si>
    <t>Gate 6 — 30 days</t>
  </si>
  <si>
    <t>D6</t>
  </si>
  <si>
    <t>Production Monitoring &amp; Incident Response</t>
  </si>
  <si>
    <t>2026-04-24</t>
  </si>
  <si>
    <t>Bedrock invocation logging config; CloudWatch dashboard; AI-Incident-Response-Playbook (A-32)</t>
  </si>
  <si>
    <t>Monitoring confirmed operational. Guardrail intervention rate and InvocationClientErrors alarmed to the security channel.</t>
  </si>
  <si>
    <t>D7</t>
  </si>
  <si>
    <t>Periodic Review &amp; Drift Reassessment</t>
  </si>
  <si>
    <t>SCHEDULED</t>
  </si>
  <si>
    <t>2026-06-30</t>
  </si>
  <si>
    <t>AI Governance Committee</t>
  </si>
  <si>
    <t>Pending: BFT-009 re-test; AI_Audit_Charter.docx §4 review pack</t>
  </si>
  <si>
    <t>Quarterly cadence. Unscheduled trigger applies on any corpus, prompt template, or foundation model version change.</t>
  </si>
  <si>
    <t>Quarterly</t>
  </si>
  <si>
    <t>D7 (retirement)</t>
  </si>
  <si>
    <t>Retirement / Decommissioning</t>
  </si>
  <si>
    <t>NOT REACHED</t>
  </si>
  <si>
    <t>On decommission</t>
  </si>
  <si>
    <t>Summary</t>
  </si>
  <si>
    <t>Gates approved</t>
  </si>
  <si>
    <t>Gates blocked (retained in log)</t>
  </si>
  <si>
    <t>Gates scheduled / not reached</t>
  </si>
  <si>
    <t>Total decisions recorded</t>
  </si>
  <si>
    <t>The minute-level record. Seq 2 and 3 are the block and release that the case study narrative turns on.</t>
  </si>
  <si>
    <t>What was presented</t>
  </si>
  <si>
    <t>What the committee concluded</t>
  </si>
  <si>
    <t>Dissent or challenge recorded</t>
  </si>
  <si>
    <t>Action assigned to</t>
  </si>
  <si>
    <t>Due</t>
  </si>
  <si>
    <t>Use case definition, business case, and draft risk-tier classification against EU AI Act Annex III.</t>
  </si>
  <si>
    <t>Accepted the high-risk classification without amendment. Noted that a creditworthiness use case leaves no discretion on tier — Annex III(5)(b) is explicit.</t>
  </si>
  <si>
    <t>One member challenged whether a 'drafting assistant' framing avoided the high-risk tier. Rejected: the output materially informs a credit decision regardless of the label applied to the tool.</t>
  </si>
  <si>
    <t>A. Kumar — proceed to data governance</t>
  </si>
  <si>
    <t>2026-02-14</t>
  </si>
  <si>
    <t>BFT-002 counterfactual pair test results across 12 planning-area segments, showing a selection rate ratio of 0.67.</t>
  </si>
  <si>
    <t>Blocked progression. The disparity was judged to arise from a proxy attribute the system had no legitimate reason to consider, not from genuine credit risk differentiation. Deployment on this basis would have created direct EU AI Act Art.10 and MAS FEAT exposure.</t>
  </si>
  <si>
    <t>The build team argued the disparity was small in absolute terms (a 0.30 spread in approve rates). The committee rejected this: the 4/5ths threshold was set in advance precisely so the decision would not turn on a post-hoc judgement about what counts as small.</t>
  </si>
  <si>
    <t>A. Kumar — root cause analysis and remediation</t>
  </si>
  <si>
    <t>2026-03-02</t>
  </si>
  <si>
    <t>BFT-008 re-test at 0.89, root cause analysis identifying postal code in retrieval metadata, and four applied remediations.</t>
  </si>
  <si>
    <t>Released. Accepted that the root cause was located and structurally removed rather than tuned around — postal code was deleted from the metadata and additionally added to the guardrail redaction list, so reintroduction upstream would not silently restore the exposure.</t>
  </si>
  <si>
    <t>A member asked whether one passing re-test was sufficient given the severity. Committee attached the quarterly re-test condition (BFT-009) rather than requiring a second immediate run.</t>
  </si>
  <si>
    <t>A. Kumar — schedule BFT-009</t>
  </si>
  <si>
    <t>All six guardrail controls with ApplyGuardrail evidence, including prompt-injection and PII test outputs.</t>
  </si>
  <si>
    <t>Approved. Noted that GDR-06 (Automated Reasoning) had been added after an internal review found the control count in the compliance tracker did not match what was built.</t>
  </si>
  <si>
    <t>None recorded.</t>
  </si>
  <si>
    <t>A. Kumar — freeze guardrail version 1</t>
  </si>
  <si>
    <t>Model card, human oversight design, and BFT-007 rationale-quality review.</t>
  </si>
  <si>
    <t>Approved with a binding condition on human confirmation. The committee was explicit that a loan officer clicking through without reading is not oversight, and required override logging so the condition is measurable.</t>
  </si>
  <si>
    <t>Concern raised that pilot-scale volumes would make override-rate monitoring statistically weak. Accepted as a known limitation of the pilot.</t>
  </si>
  <si>
    <t>Loan Ops lead — implement override logging</t>
  </si>
  <si>
    <t>IAM Deny-without-guardrail denial evidence, grounded invocation trace with citations, and pilot rollout plan.</t>
  </si>
  <si>
    <t>Go-live approved for a 500-application pilot only. The committee specifically noted the AccessDenied evidence as the point at which guardrail enforcement moved from policy to structure.</t>
  </si>
  <si>
    <t>A. Kumar — 30-day post-deployment review pack</t>
  </si>
  <si>
    <t>Invocation logging configuration, CloudWatch governance dashboard, and incident playbook walkthrough.</t>
  </si>
  <si>
    <t>Approved. Confirmed that logging captures post-guardrail output so PII redaction is not defeated by the audit trail itself.</t>
  </si>
  <si>
    <t>A member asked what happens if InvocationClientErrors spikes — i.e. something calling Bedrock without a guardrail. Confirmed as a P1 incident trigger in the playbook.</t>
  </si>
  <si>
    <t>A. Kumar — quarterly review pack</t>
  </si>
  <si>
    <t>Per AI_Governance_Committee_Charter (A-26) §3. Roles are named, individuals are not, in this published version.</t>
  </si>
  <si>
    <t>Approving body</t>
  </si>
  <si>
    <t>Additional sign-off required</t>
  </si>
  <si>
    <t>Quorum</t>
  </si>
  <si>
    <t>Evidence owner (cannot approve)</t>
  </si>
  <si>
    <t>Four-eyes satisfied</t>
  </si>
  <si>
    <t>Chair + 2 members</t>
  </si>
  <si>
    <t>AI Governance Lead</t>
  </si>
  <si>
    <t>Yes</t>
  </si>
  <si>
    <t>Model Risk independent review</t>
  </si>
  <si>
    <t>Chair + 2 members + Security</t>
  </si>
  <si>
    <t>Accountable business owner (Head of Retail Lending)</t>
  </si>
  <si>
    <t>Chair + 3 members + business owner</t>
  </si>
  <si>
    <t>Pending</t>
  </si>
  <si>
    <t>Records retention confirmation</t>
  </si>
  <si>
    <t>Not reached</t>
  </si>
  <si>
    <t>Automated completeness and four-eyes validation. A log that does not validate itself is not a control.</t>
  </si>
  <si>
    <t>Check</t>
  </si>
  <si>
    <t>What it tests</t>
  </si>
  <si>
    <t>Result</t>
  </si>
  <si>
    <t>Interpretation</t>
  </si>
  <si>
    <t>C-01</t>
  </si>
  <si>
    <t>Every decision point D1-D7 appears at least once in GATE-LOG</t>
  </si>
  <si>
    <t>Nine rows across the seven decision points — D2 appears twice because the block is retained alongside the release, and retirement carries a not-reached row from go-live.</t>
  </si>
  <si>
    <t>C-02</t>
  </si>
  <si>
    <t>Every approved decision names an independent reviewer</t>
  </si>
  <si>
    <t>Only the NOT REACHED row may have no reviewer.</t>
  </si>
  <si>
    <t>C-03</t>
  </si>
  <si>
    <t>No approver is also the evidence owner (four-eyes), excluding gates not yet reached</t>
  </si>
  <si>
    <t>Compares evidence owner against approver row by row. Rows for gates not yet reached carry no owner and are excluded.</t>
  </si>
  <si>
    <t>C-04</t>
  </si>
  <si>
    <t>At least one gate decision in the log is a block</t>
  </si>
  <si>
    <t>A framework that has never blocked anything has not been tested. This check exists to make that visible rather than assumed.</t>
  </si>
  <si>
    <t>C-05</t>
  </si>
  <si>
    <t>Every blocked gate has a linked risk ID</t>
  </si>
  <si>
    <t>A block with no risk reference cannot be traced to remediation.</t>
  </si>
  <si>
    <t>C-06</t>
  </si>
  <si>
    <t>Every approved gate has a next review date</t>
  </si>
  <si>
    <t>Approval without a review horizon is a one-way door.</t>
  </si>
  <si>
    <t>Gate Log - Every decision, in chronological order</t>
  </si>
  <si>
    <t>Decision Detail - Narrative record for each gate decision</t>
  </si>
  <si>
    <t>Decision Authority By Gate</t>
  </si>
  <si>
    <t>Control Checks On This Log</t>
  </si>
  <si>
    <t>The authoritative record of who approved, blocked, or released each of the seven decision points (D1–D7), which map to five formal stage gates plus two post-deployment stages (see A-25 §3), and on what date. This is the artefact that makes gate governance auditable rather than narrative.</t>
  </si>
  <si>
    <t>Retirement stage not reached in the worked scenario. This row exists so the log spans all seven decision points rather than silently ending at the current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</si>
</sst>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b/>
      <sz val="10"/>
      <name val="Arial"/>
      <charset val="1"/>
    </font>
    <font>
      <sz val="10"/>
      <name val="Arial"/>
      <charset val="1"/>
    </font>
    <font>
      <b/>
      <sz val="11"/>
      <color rgb="FF1F3864"/>
      <name val="Arial"/>
      <charset val="1"/>
    </font>
  </fonts>
  <fills count="7">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8CBAD"/>
        <bgColor rgb="FFFFF2CC"/>
      </patternFill>
    </fill>
    <fill>
      <patternFill patternType="solid">
        <fgColor rgb="FFFFF2CC"/>
        <bgColor rgb="FFF2F2F2"/>
      </patternFill>
    </fill>
    <fill>
      <patternFill patternType="solid">
        <fgColor rgb="FFF2F2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4" fillId="0" borderId="0" xfId="0" applyFont="1"/>
    <xf numFmtId="0" fontId="5" fillId="0" borderId="0" xfId="0" applyFont="1"/>
    <xf numFmtId="0" fontId="4"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zoomScaleNormal="100" workbookViewId="0">
      <selection activeCell="A4" sqref="A4"/>
    </sheetView>
  </sheetViews>
  <sheetFormatPr defaultColWidth="8.6640625" defaultRowHeight="14.4" x14ac:dyDescent="0.3"/>
  <cols>
    <col min="1" max="1" width="26" customWidth="1"/>
    <col min="2" max="2" width="108" customWidth="1"/>
  </cols>
  <sheetData>
    <row r="1" spans="1:2" ht="17.399999999999999" customHeight="1" x14ac:dyDescent="0.3">
      <c r="A1" s="1" t="s">
        <v>0</v>
      </c>
    </row>
    <row r="2" spans="1:2" ht="15" customHeight="1" x14ac:dyDescent="0.3">
      <c r="A2" s="2" t="s">
        <v>1</v>
      </c>
    </row>
    <row r="4" spans="1:2" s="18" customFormat="1" ht="15" customHeight="1" x14ac:dyDescent="0.3">
      <c r="A4" s="17" t="s">
        <v>2</v>
      </c>
      <c r="B4" s="17" t="s">
        <v>3</v>
      </c>
    </row>
    <row r="5" spans="1:2" ht="51.75" customHeight="1" x14ac:dyDescent="0.3">
      <c r="A5" s="3" t="s">
        <v>4</v>
      </c>
      <c r="B5" s="4" t="s">
        <v>173</v>
      </c>
    </row>
    <row r="6" spans="1:2" ht="51.75" customHeight="1" x14ac:dyDescent="0.3">
      <c r="A6" s="3" t="s">
        <v>5</v>
      </c>
      <c r="B6" s="4" t="s">
        <v>6</v>
      </c>
    </row>
    <row r="7" spans="1:2" ht="51.75" customHeight="1" x14ac:dyDescent="0.3">
      <c r="A7" s="3" t="s">
        <v>7</v>
      </c>
      <c r="B7" s="4" t="s">
        <v>8</v>
      </c>
    </row>
    <row r="8" spans="1:2" ht="51.75" customHeight="1" x14ac:dyDescent="0.3">
      <c r="A8" s="3" t="s">
        <v>9</v>
      </c>
      <c r="B8" s="4" t="s">
        <v>10</v>
      </c>
    </row>
    <row r="9" spans="1:2" ht="51.75" customHeight="1" x14ac:dyDescent="0.3">
      <c r="A9" s="3" t="s">
        <v>11</v>
      </c>
      <c r="B9" s="4" t="s">
        <v>12</v>
      </c>
    </row>
    <row r="10" spans="1:2" ht="51.75" customHeight="1" x14ac:dyDescent="0.3">
      <c r="A10" s="3" t="s">
        <v>13</v>
      </c>
      <c r="B10" s="4"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zoomScaleNormal="100" workbookViewId="0">
      <pane ySplit="4" topLeftCell="A5" activePane="bottomLeft" state="frozen"/>
      <selection pane="bottomLeft" activeCell="A4" sqref="A4"/>
    </sheetView>
  </sheetViews>
  <sheetFormatPr defaultColWidth="8.6640625" defaultRowHeight="14.4" x14ac:dyDescent="0.3"/>
  <cols>
    <col min="1" max="1" width="6" customWidth="1"/>
    <col min="2" max="2" width="10" customWidth="1"/>
    <col min="3" max="3" width="30" customWidth="1"/>
    <col min="4" max="4" width="20" customWidth="1"/>
    <col min="5" max="5" width="14" customWidth="1"/>
    <col min="6" max="6" width="16" customWidth="1"/>
    <col min="7" max="7" width="34" customWidth="1"/>
    <col min="8" max="8" width="26" customWidth="1"/>
    <col min="9" max="9" width="44" customWidth="1"/>
    <col min="10" max="10" width="16" customWidth="1"/>
    <col min="11" max="11" width="54" customWidth="1"/>
    <col min="12" max="12" width="18" customWidth="1"/>
  </cols>
  <sheetData>
    <row r="1" spans="1:12" ht="17.399999999999999" customHeight="1" x14ac:dyDescent="0.3">
      <c r="A1" s="1" t="s">
        <v>169</v>
      </c>
    </row>
    <row r="2" spans="1:12" ht="15" customHeight="1" x14ac:dyDescent="0.3">
      <c r="A2" s="2" t="s">
        <v>15</v>
      </c>
    </row>
    <row r="4" spans="1:12" s="18" customFormat="1" ht="15" customHeight="1" x14ac:dyDescent="0.3">
      <c r="A4" s="17" t="s">
        <v>16</v>
      </c>
      <c r="B4" s="17" t="s">
        <v>17</v>
      </c>
      <c r="C4" s="17" t="s">
        <v>18</v>
      </c>
      <c r="D4" s="17" t="s">
        <v>19</v>
      </c>
      <c r="E4" s="17" t="s">
        <v>20</v>
      </c>
      <c r="F4" s="17" t="s">
        <v>21</v>
      </c>
      <c r="G4" s="17" t="s">
        <v>22</v>
      </c>
      <c r="H4" s="17" t="s">
        <v>23</v>
      </c>
      <c r="I4" s="17" t="s">
        <v>24</v>
      </c>
      <c r="J4" s="17" t="s">
        <v>25</v>
      </c>
      <c r="K4" s="17" t="s">
        <v>26</v>
      </c>
      <c r="L4" s="17" t="s">
        <v>27</v>
      </c>
    </row>
    <row r="5" spans="1:12" ht="63.75" customHeight="1" x14ac:dyDescent="0.3">
      <c r="A5" s="5">
        <v>1</v>
      </c>
      <c r="B5" s="5" t="s">
        <v>28</v>
      </c>
      <c r="C5" s="5" t="s">
        <v>29</v>
      </c>
      <c r="D5" s="6" t="s">
        <v>30</v>
      </c>
      <c r="E5" s="5" t="s">
        <v>31</v>
      </c>
      <c r="F5" s="5" t="s">
        <v>32</v>
      </c>
      <c r="G5" s="5" t="s">
        <v>33</v>
      </c>
      <c r="H5" s="5" t="s">
        <v>34</v>
      </c>
      <c r="I5" s="5" t="s">
        <v>35</v>
      </c>
      <c r="J5" s="5" t="s">
        <v>36</v>
      </c>
      <c r="K5" s="5" t="s">
        <v>37</v>
      </c>
      <c r="L5" s="5" t="s">
        <v>38</v>
      </c>
    </row>
    <row r="6" spans="1:12" ht="63.75" customHeight="1" x14ac:dyDescent="0.3">
      <c r="A6" s="7">
        <v>2</v>
      </c>
      <c r="B6" s="7" t="s">
        <v>38</v>
      </c>
      <c r="C6" s="7" t="s">
        <v>39</v>
      </c>
      <c r="D6" s="8" t="s">
        <v>40</v>
      </c>
      <c r="E6" s="7" t="s">
        <v>41</v>
      </c>
      <c r="F6" s="7" t="s">
        <v>32</v>
      </c>
      <c r="G6" s="7" t="s">
        <v>33</v>
      </c>
      <c r="H6" s="7" t="s">
        <v>42</v>
      </c>
      <c r="I6" s="7" t="s">
        <v>43</v>
      </c>
      <c r="J6" s="7" t="s">
        <v>44</v>
      </c>
      <c r="K6" s="7" t="s">
        <v>45</v>
      </c>
      <c r="L6" s="7" t="s">
        <v>46</v>
      </c>
    </row>
    <row r="7" spans="1:12" ht="63.75" customHeight="1" x14ac:dyDescent="0.3">
      <c r="A7" s="5">
        <v>3</v>
      </c>
      <c r="B7" s="5" t="s">
        <v>38</v>
      </c>
      <c r="C7" s="5" t="s">
        <v>39</v>
      </c>
      <c r="D7" s="6" t="s">
        <v>47</v>
      </c>
      <c r="E7" s="5" t="s">
        <v>48</v>
      </c>
      <c r="F7" s="5" t="s">
        <v>32</v>
      </c>
      <c r="G7" s="5" t="s">
        <v>33</v>
      </c>
      <c r="H7" s="5" t="s">
        <v>42</v>
      </c>
      <c r="I7" s="5" t="s">
        <v>49</v>
      </c>
      <c r="J7" s="5" t="s">
        <v>50</v>
      </c>
      <c r="K7" s="5" t="s">
        <v>51</v>
      </c>
      <c r="L7" s="5" t="s">
        <v>52</v>
      </c>
    </row>
    <row r="8" spans="1:12" ht="63.75" customHeight="1" x14ac:dyDescent="0.3">
      <c r="A8" s="5">
        <v>4</v>
      </c>
      <c r="B8" s="5" t="s">
        <v>53</v>
      </c>
      <c r="C8" s="5" t="s">
        <v>54</v>
      </c>
      <c r="D8" s="6" t="s">
        <v>30</v>
      </c>
      <c r="E8" s="5" t="s">
        <v>55</v>
      </c>
      <c r="F8" s="5" t="s">
        <v>32</v>
      </c>
      <c r="G8" s="5" t="s">
        <v>33</v>
      </c>
      <c r="H8" s="5" t="s">
        <v>56</v>
      </c>
      <c r="I8" s="5" t="s">
        <v>57</v>
      </c>
      <c r="J8" s="5" t="s">
        <v>58</v>
      </c>
      <c r="K8" s="5" t="s">
        <v>59</v>
      </c>
      <c r="L8" s="5" t="s">
        <v>60</v>
      </c>
    </row>
    <row r="9" spans="1:12" ht="63.75" customHeight="1" x14ac:dyDescent="0.3">
      <c r="A9" s="5">
        <v>5</v>
      </c>
      <c r="B9" s="5" t="s">
        <v>60</v>
      </c>
      <c r="C9" s="5" t="s">
        <v>61</v>
      </c>
      <c r="D9" s="6" t="s">
        <v>30</v>
      </c>
      <c r="E9" s="5" t="s">
        <v>62</v>
      </c>
      <c r="F9" s="5" t="s">
        <v>63</v>
      </c>
      <c r="G9" s="5" t="s">
        <v>33</v>
      </c>
      <c r="H9" s="5" t="s">
        <v>34</v>
      </c>
      <c r="I9" s="5" t="s">
        <v>64</v>
      </c>
      <c r="J9" s="5" t="s">
        <v>36</v>
      </c>
      <c r="K9" s="5" t="s">
        <v>65</v>
      </c>
      <c r="L9" s="5" t="s">
        <v>66</v>
      </c>
    </row>
    <row r="10" spans="1:12" ht="63.75" customHeight="1" x14ac:dyDescent="0.3">
      <c r="A10" s="5">
        <v>6</v>
      </c>
      <c r="B10" s="5" t="s">
        <v>66</v>
      </c>
      <c r="C10" s="5" t="s">
        <v>67</v>
      </c>
      <c r="D10" s="6" t="s">
        <v>30</v>
      </c>
      <c r="E10" s="5" t="s">
        <v>68</v>
      </c>
      <c r="F10" s="5" t="s">
        <v>32</v>
      </c>
      <c r="G10" s="5" t="s">
        <v>69</v>
      </c>
      <c r="H10" s="5" t="s">
        <v>56</v>
      </c>
      <c r="I10" s="5" t="s">
        <v>70</v>
      </c>
      <c r="J10" s="5" t="s">
        <v>36</v>
      </c>
      <c r="K10" s="5" t="s">
        <v>71</v>
      </c>
      <c r="L10" s="5" t="s">
        <v>72</v>
      </c>
    </row>
    <row r="11" spans="1:12" ht="63.75" customHeight="1" x14ac:dyDescent="0.3">
      <c r="A11" s="5">
        <v>7</v>
      </c>
      <c r="B11" s="5" t="s">
        <v>73</v>
      </c>
      <c r="C11" s="5" t="s">
        <v>74</v>
      </c>
      <c r="D11" s="6" t="s">
        <v>30</v>
      </c>
      <c r="E11" s="5" t="s">
        <v>75</v>
      </c>
      <c r="F11" s="5" t="s">
        <v>32</v>
      </c>
      <c r="G11" s="5" t="s">
        <v>33</v>
      </c>
      <c r="H11" s="5" t="s">
        <v>56</v>
      </c>
      <c r="I11" s="5" t="s">
        <v>76</v>
      </c>
      <c r="J11" s="5" t="s">
        <v>36</v>
      </c>
      <c r="K11" s="5" t="s">
        <v>77</v>
      </c>
      <c r="L11" s="5" t="s">
        <v>52</v>
      </c>
    </row>
    <row r="12" spans="1:12" ht="63.75" customHeight="1" x14ac:dyDescent="0.3">
      <c r="A12" s="9">
        <v>8</v>
      </c>
      <c r="B12" s="9" t="s">
        <v>78</v>
      </c>
      <c r="C12" s="9" t="s">
        <v>79</v>
      </c>
      <c r="D12" s="10" t="s">
        <v>80</v>
      </c>
      <c r="E12" s="9" t="s">
        <v>81</v>
      </c>
      <c r="F12" s="9" t="s">
        <v>32</v>
      </c>
      <c r="G12" s="9" t="s">
        <v>82</v>
      </c>
      <c r="H12" s="9" t="s">
        <v>42</v>
      </c>
      <c r="I12" s="9" t="s">
        <v>83</v>
      </c>
      <c r="J12" s="9" t="s">
        <v>36</v>
      </c>
      <c r="K12" s="9" t="s">
        <v>84</v>
      </c>
      <c r="L12" s="9" t="s">
        <v>85</v>
      </c>
    </row>
    <row r="13" spans="1:12" ht="63.75" customHeight="1" x14ac:dyDescent="0.3">
      <c r="A13" s="11">
        <v>9</v>
      </c>
      <c r="B13" s="11" t="s">
        <v>86</v>
      </c>
      <c r="C13" s="11" t="s">
        <v>87</v>
      </c>
      <c r="D13" s="12" t="s">
        <v>88</v>
      </c>
      <c r="E13" s="11" t="s">
        <v>36</v>
      </c>
      <c r="F13" s="11" t="s">
        <v>36</v>
      </c>
      <c r="G13" s="11" t="s">
        <v>36</v>
      </c>
      <c r="H13" s="11" t="s">
        <v>36</v>
      </c>
      <c r="I13" s="11" t="s">
        <v>36</v>
      </c>
      <c r="J13" s="11" t="s">
        <v>36</v>
      </c>
      <c r="K13" s="11" t="s">
        <v>174</v>
      </c>
      <c r="L13" s="11" t="s">
        <v>89</v>
      </c>
    </row>
    <row r="15" spans="1:12" ht="15" customHeight="1" x14ac:dyDescent="0.3">
      <c r="A15" s="13" t="s">
        <v>90</v>
      </c>
    </row>
    <row r="16" spans="1:12" ht="15" customHeight="1" x14ac:dyDescent="0.3">
      <c r="A16" s="14" t="s">
        <v>91</v>
      </c>
      <c r="B16" s="15">
        <f>COUNTIF(D5:D13,"APPROVED")+COUNTIF(D5:D13,"APPROVED (released)")</f>
        <v>6</v>
      </c>
    </row>
    <row r="17" spans="1:2" ht="15" customHeight="1" x14ac:dyDescent="0.3">
      <c r="A17" s="14" t="s">
        <v>92</v>
      </c>
      <c r="B17" s="15">
        <f>COUNTIF(D5:D13,"BLOCKED")</f>
        <v>1</v>
      </c>
    </row>
    <row r="18" spans="1:2" ht="15" customHeight="1" x14ac:dyDescent="0.3">
      <c r="A18" s="14" t="s">
        <v>93</v>
      </c>
      <c r="B18" s="15">
        <f>COUNTIF(D5:D13,"SCHEDULED")+COUNTIF(D5:D13,"NOT REACHED")</f>
        <v>2</v>
      </c>
    </row>
    <row r="19" spans="1:2" ht="15" customHeight="1" x14ac:dyDescent="0.3">
      <c r="A19" s="14" t="s">
        <v>94</v>
      </c>
      <c r="B19" s="15">
        <f>COUNTA(D5:D13)</f>
        <v>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zoomScaleNormal="100" workbookViewId="0">
      <selection activeCell="A4" sqref="A4"/>
    </sheetView>
  </sheetViews>
  <sheetFormatPr defaultColWidth="8.6640625" defaultRowHeight="14.4" x14ac:dyDescent="0.3"/>
  <cols>
    <col min="1" max="1" width="6" customWidth="1"/>
    <col min="2" max="2" width="10" customWidth="1"/>
    <col min="3" max="3" width="20" customWidth="1"/>
    <col min="4" max="4" width="44" customWidth="1"/>
    <col min="5" max="6" width="60" customWidth="1"/>
    <col min="7" max="7" width="32" customWidth="1"/>
    <col min="8" max="8" width="14" customWidth="1"/>
  </cols>
  <sheetData>
    <row r="1" spans="1:8" ht="17.399999999999999" customHeight="1" x14ac:dyDescent="0.3">
      <c r="A1" s="1" t="s">
        <v>170</v>
      </c>
    </row>
    <row r="2" spans="1:8" ht="15" customHeight="1" x14ac:dyDescent="0.3">
      <c r="A2" s="2" t="s">
        <v>95</v>
      </c>
    </row>
    <row r="4" spans="1:8" s="18" customFormat="1" ht="15" customHeight="1" x14ac:dyDescent="0.3">
      <c r="A4" s="17" t="s">
        <v>16</v>
      </c>
      <c r="B4" s="17" t="s">
        <v>17</v>
      </c>
      <c r="C4" s="17" t="s">
        <v>19</v>
      </c>
      <c r="D4" s="17" t="s">
        <v>96</v>
      </c>
      <c r="E4" s="17" t="s">
        <v>97</v>
      </c>
      <c r="F4" s="17" t="s">
        <v>98</v>
      </c>
      <c r="G4" s="17" t="s">
        <v>99</v>
      </c>
      <c r="H4" s="17" t="s">
        <v>100</v>
      </c>
    </row>
    <row r="5" spans="1:8" ht="103.5" customHeight="1" x14ac:dyDescent="0.3">
      <c r="A5" s="5">
        <v>1</v>
      </c>
      <c r="B5" s="5" t="s">
        <v>28</v>
      </c>
      <c r="C5" s="5" t="s">
        <v>30</v>
      </c>
      <c r="D5" s="4" t="s">
        <v>101</v>
      </c>
      <c r="E5" s="4" t="s">
        <v>102</v>
      </c>
      <c r="F5" s="4" t="s">
        <v>103</v>
      </c>
      <c r="G5" s="4" t="s">
        <v>104</v>
      </c>
      <c r="H5" s="4" t="s">
        <v>105</v>
      </c>
    </row>
    <row r="6" spans="1:8" ht="103.5" customHeight="1" x14ac:dyDescent="0.3">
      <c r="A6" s="7">
        <v>2</v>
      </c>
      <c r="B6" s="7" t="s">
        <v>38</v>
      </c>
      <c r="C6" s="7" t="s">
        <v>40</v>
      </c>
      <c r="D6" s="4" t="s">
        <v>106</v>
      </c>
      <c r="E6" s="4" t="s">
        <v>107</v>
      </c>
      <c r="F6" s="4" t="s">
        <v>108</v>
      </c>
      <c r="G6" s="4" t="s">
        <v>109</v>
      </c>
      <c r="H6" s="4" t="s">
        <v>110</v>
      </c>
    </row>
    <row r="7" spans="1:8" ht="103.5" customHeight="1" x14ac:dyDescent="0.3">
      <c r="A7" s="5">
        <v>3</v>
      </c>
      <c r="B7" s="5" t="s">
        <v>38</v>
      </c>
      <c r="C7" s="5" t="s">
        <v>47</v>
      </c>
      <c r="D7" s="4" t="s">
        <v>111</v>
      </c>
      <c r="E7" s="4" t="s">
        <v>112</v>
      </c>
      <c r="F7" s="4" t="s">
        <v>113</v>
      </c>
      <c r="G7" s="4" t="s">
        <v>114</v>
      </c>
      <c r="H7" s="4" t="s">
        <v>81</v>
      </c>
    </row>
    <row r="8" spans="1:8" ht="103.5" customHeight="1" x14ac:dyDescent="0.3">
      <c r="A8" s="5">
        <v>4</v>
      </c>
      <c r="B8" s="5" t="s">
        <v>53</v>
      </c>
      <c r="C8" s="5" t="s">
        <v>30</v>
      </c>
      <c r="D8" s="4" t="s">
        <v>115</v>
      </c>
      <c r="E8" s="4" t="s">
        <v>116</v>
      </c>
      <c r="F8" s="4" t="s">
        <v>117</v>
      </c>
      <c r="G8" s="4" t="s">
        <v>118</v>
      </c>
      <c r="H8" s="4" t="s">
        <v>62</v>
      </c>
    </row>
    <row r="9" spans="1:8" ht="103.5" customHeight="1" x14ac:dyDescent="0.3">
      <c r="A9" s="5">
        <v>5</v>
      </c>
      <c r="B9" s="5" t="s">
        <v>60</v>
      </c>
      <c r="C9" s="5" t="s">
        <v>30</v>
      </c>
      <c r="D9" s="4" t="s">
        <v>119</v>
      </c>
      <c r="E9" s="4" t="s">
        <v>120</v>
      </c>
      <c r="F9" s="4" t="s">
        <v>121</v>
      </c>
      <c r="G9" s="4" t="s">
        <v>122</v>
      </c>
      <c r="H9" s="4" t="s">
        <v>68</v>
      </c>
    </row>
    <row r="10" spans="1:8" ht="103.5" customHeight="1" x14ac:dyDescent="0.3">
      <c r="A10" s="5">
        <v>6</v>
      </c>
      <c r="B10" s="5" t="s">
        <v>66</v>
      </c>
      <c r="C10" s="5" t="s">
        <v>30</v>
      </c>
      <c r="D10" s="4" t="s">
        <v>123</v>
      </c>
      <c r="E10" s="4" t="s">
        <v>124</v>
      </c>
      <c r="F10" s="4" t="s">
        <v>117</v>
      </c>
      <c r="G10" s="4" t="s">
        <v>125</v>
      </c>
      <c r="H10" s="4" t="s">
        <v>75</v>
      </c>
    </row>
    <row r="11" spans="1:8" ht="103.5" customHeight="1" x14ac:dyDescent="0.3">
      <c r="A11" s="5">
        <v>7</v>
      </c>
      <c r="B11" s="5" t="s">
        <v>73</v>
      </c>
      <c r="C11" s="5" t="s">
        <v>30</v>
      </c>
      <c r="D11" s="4" t="s">
        <v>126</v>
      </c>
      <c r="E11" s="4" t="s">
        <v>127</v>
      </c>
      <c r="F11" s="4" t="s">
        <v>128</v>
      </c>
      <c r="G11" s="4" t="s">
        <v>129</v>
      </c>
      <c r="H11" s="4" t="s">
        <v>81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zoomScaleNormal="100" workbookViewId="0">
      <selection activeCell="A4" sqref="A4"/>
    </sheetView>
  </sheetViews>
  <sheetFormatPr defaultColWidth="8.6640625" defaultRowHeight="14.4" x14ac:dyDescent="0.3"/>
  <cols>
    <col min="1" max="1" width="10" customWidth="1"/>
    <col min="2" max="2" width="28" customWidth="1"/>
    <col min="3" max="3" width="44" customWidth="1"/>
    <col min="4" max="4" width="32" customWidth="1"/>
    <col min="5" max="5" width="28" customWidth="1"/>
    <col min="6" max="6" width="18" customWidth="1"/>
  </cols>
  <sheetData>
    <row r="1" spans="1:6" ht="17.399999999999999" customHeight="1" x14ac:dyDescent="0.3">
      <c r="A1" s="1" t="s">
        <v>171</v>
      </c>
    </row>
    <row r="2" spans="1:6" ht="15" customHeight="1" x14ac:dyDescent="0.3">
      <c r="A2" s="2" t="s">
        <v>130</v>
      </c>
    </row>
    <row r="4" spans="1:6" s="18" customFormat="1" ht="23.85" customHeight="1" x14ac:dyDescent="0.3">
      <c r="A4" s="17" t="s">
        <v>17</v>
      </c>
      <c r="B4" s="17" t="s">
        <v>131</v>
      </c>
      <c r="C4" s="17" t="s">
        <v>132</v>
      </c>
      <c r="D4" s="17" t="s">
        <v>133</v>
      </c>
      <c r="E4" s="17" t="s">
        <v>134</v>
      </c>
      <c r="F4" s="17" t="s">
        <v>135</v>
      </c>
    </row>
    <row r="5" spans="1:6" ht="31.5" customHeight="1" x14ac:dyDescent="0.3">
      <c r="A5" s="4" t="s">
        <v>28</v>
      </c>
      <c r="B5" s="4" t="s">
        <v>82</v>
      </c>
      <c r="C5" s="4" t="s">
        <v>36</v>
      </c>
      <c r="D5" s="4" t="s">
        <v>136</v>
      </c>
      <c r="E5" s="4" t="s">
        <v>137</v>
      </c>
      <c r="F5" s="4" t="s">
        <v>138</v>
      </c>
    </row>
    <row r="6" spans="1:6" ht="31.5" customHeight="1" x14ac:dyDescent="0.3">
      <c r="A6" s="4" t="s">
        <v>38</v>
      </c>
      <c r="B6" s="4" t="s">
        <v>82</v>
      </c>
      <c r="C6" s="4" t="s">
        <v>139</v>
      </c>
      <c r="D6" s="4" t="s">
        <v>136</v>
      </c>
      <c r="E6" s="4" t="s">
        <v>137</v>
      </c>
      <c r="F6" s="4" t="s">
        <v>138</v>
      </c>
    </row>
    <row r="7" spans="1:6" ht="31.5" customHeight="1" x14ac:dyDescent="0.3">
      <c r="A7" s="4" t="s">
        <v>53</v>
      </c>
      <c r="B7" s="4" t="s">
        <v>82</v>
      </c>
      <c r="C7" s="4" t="s">
        <v>56</v>
      </c>
      <c r="D7" s="4" t="s">
        <v>140</v>
      </c>
      <c r="E7" s="4" t="s">
        <v>137</v>
      </c>
      <c r="F7" s="4" t="s">
        <v>138</v>
      </c>
    </row>
    <row r="8" spans="1:6" ht="31.5" customHeight="1" x14ac:dyDescent="0.3">
      <c r="A8" s="4" t="s">
        <v>60</v>
      </c>
      <c r="B8" s="4" t="s">
        <v>82</v>
      </c>
      <c r="C8" s="4" t="s">
        <v>34</v>
      </c>
      <c r="D8" s="4" t="s">
        <v>136</v>
      </c>
      <c r="E8" s="4" t="s">
        <v>63</v>
      </c>
      <c r="F8" s="4" t="s">
        <v>138</v>
      </c>
    </row>
    <row r="9" spans="1:6" ht="31.5" customHeight="1" x14ac:dyDescent="0.3">
      <c r="A9" s="4" t="s">
        <v>66</v>
      </c>
      <c r="B9" s="4" t="s">
        <v>82</v>
      </c>
      <c r="C9" s="4" t="s">
        <v>141</v>
      </c>
      <c r="D9" s="4" t="s">
        <v>142</v>
      </c>
      <c r="E9" s="4" t="s">
        <v>137</v>
      </c>
      <c r="F9" s="4" t="s">
        <v>138</v>
      </c>
    </row>
    <row r="10" spans="1:6" ht="31.5" customHeight="1" x14ac:dyDescent="0.3">
      <c r="A10" s="4" t="s">
        <v>73</v>
      </c>
      <c r="B10" s="4" t="s">
        <v>82</v>
      </c>
      <c r="C10" s="4" t="s">
        <v>56</v>
      </c>
      <c r="D10" s="4" t="s">
        <v>140</v>
      </c>
      <c r="E10" s="4" t="s">
        <v>137</v>
      </c>
      <c r="F10" s="4" t="s">
        <v>138</v>
      </c>
    </row>
    <row r="11" spans="1:6" ht="31.5" customHeight="1" x14ac:dyDescent="0.3">
      <c r="A11" s="4" t="s">
        <v>78</v>
      </c>
      <c r="B11" s="4" t="s">
        <v>82</v>
      </c>
      <c r="C11" s="4" t="s">
        <v>36</v>
      </c>
      <c r="D11" s="4" t="s">
        <v>136</v>
      </c>
      <c r="E11" s="4" t="s">
        <v>137</v>
      </c>
      <c r="F11" s="4" t="s">
        <v>143</v>
      </c>
    </row>
    <row r="12" spans="1:6" ht="31.5" customHeight="1" x14ac:dyDescent="0.3">
      <c r="A12" s="4" t="s">
        <v>86</v>
      </c>
      <c r="B12" s="4" t="s">
        <v>82</v>
      </c>
      <c r="C12" s="4" t="s">
        <v>144</v>
      </c>
      <c r="D12" s="4" t="s">
        <v>136</v>
      </c>
      <c r="E12" s="4" t="s">
        <v>137</v>
      </c>
      <c r="F12" s="4" t="s">
        <v>145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zoomScaleNormal="100" workbookViewId="0">
      <selection activeCell="A4" sqref="A4"/>
    </sheetView>
  </sheetViews>
  <sheetFormatPr defaultColWidth="8.6640625" defaultRowHeight="14.4" x14ac:dyDescent="0.3"/>
  <cols>
    <col min="1" max="1" width="10" customWidth="1"/>
    <col min="2" max="2" width="50" customWidth="1"/>
    <col min="3" max="3" width="12" customWidth="1"/>
    <col min="4" max="4" width="74" customWidth="1"/>
  </cols>
  <sheetData>
    <row r="1" spans="1:4" ht="17.399999999999999" customHeight="1" x14ac:dyDescent="0.3">
      <c r="A1" s="1" t="s">
        <v>172</v>
      </c>
    </row>
    <row r="2" spans="1:4" ht="15" customHeight="1" x14ac:dyDescent="0.3">
      <c r="A2" s="2" t="s">
        <v>146</v>
      </c>
    </row>
    <row r="4" spans="1:4" s="18" customFormat="1" ht="15" customHeight="1" x14ac:dyDescent="0.3">
      <c r="A4" s="17" t="s">
        <v>147</v>
      </c>
      <c r="B4" s="17" t="s">
        <v>148</v>
      </c>
      <c r="C4" s="17" t="s">
        <v>149</v>
      </c>
      <c r="D4" s="17" t="s">
        <v>150</v>
      </c>
    </row>
    <row r="5" spans="1:4" ht="39.75" customHeight="1" x14ac:dyDescent="0.3">
      <c r="A5" s="4" t="s">
        <v>151</v>
      </c>
      <c r="B5" s="4" t="s">
        <v>152</v>
      </c>
      <c r="C5" s="16" t="str">
        <f>IF(COUNTA('GATE-LOG'!B5:B13)=9,"PASS","FAIL")</f>
        <v>PASS</v>
      </c>
      <c r="D5" s="4" t="s">
        <v>153</v>
      </c>
    </row>
    <row r="6" spans="1:4" ht="39.75" customHeight="1" x14ac:dyDescent="0.3">
      <c r="A6" s="4" t="s">
        <v>154</v>
      </c>
      <c r="B6" s="4" t="s">
        <v>155</v>
      </c>
      <c r="C6" s="16" t="str">
        <f>IF(COUNTIF('GATE-LOG'!H5:H13,"—")&lt;=1,"PASS","FAIL")</f>
        <v>PASS</v>
      </c>
      <c r="D6" s="4" t="s">
        <v>156</v>
      </c>
    </row>
    <row r="7" spans="1:4" ht="39.75" customHeight="1" x14ac:dyDescent="0.3">
      <c r="A7" s="4" t="s">
        <v>157</v>
      </c>
      <c r="B7" s="4" t="s">
        <v>158</v>
      </c>
      <c r="C7" s="16" t="str">
        <f>IF(SUMPRODUCT(('GATE-LOG'!F5:F13='GATE-LOG'!G5:G13)*('GATE-LOG'!F5:F13&lt;&gt;"—"))=0,"PASS","FAIL")</f>
        <v>PASS</v>
      </c>
      <c r="D7" s="4" t="s">
        <v>159</v>
      </c>
    </row>
    <row r="8" spans="1:4" ht="39.75" customHeight="1" x14ac:dyDescent="0.3">
      <c r="A8" s="4" t="s">
        <v>160</v>
      </c>
      <c r="B8" s="4" t="s">
        <v>161</v>
      </c>
      <c r="C8" s="16" t="str">
        <f>IF(COUNTIF('GATE-LOG'!D5:D13,"BLOCKED")&gt;0,"PASS","REVIEW")</f>
        <v>PASS</v>
      </c>
      <c r="D8" s="4" t="s">
        <v>162</v>
      </c>
    </row>
    <row r="9" spans="1:4" ht="39.75" customHeight="1" x14ac:dyDescent="0.3">
      <c r="A9" s="4" t="s">
        <v>163</v>
      </c>
      <c r="B9" s="4" t="s">
        <v>164</v>
      </c>
      <c r="C9" s="16" t="str">
        <f>IF(COUNTIFS('GATE-LOG'!D5:D13,"BLOCKED",'GATE-LOG'!J5:J13,"—")=0,"PASS","FAIL")</f>
        <v>PASS</v>
      </c>
      <c r="D9" s="4" t="s">
        <v>165</v>
      </c>
    </row>
    <row r="10" spans="1:4" ht="39.75" customHeight="1" x14ac:dyDescent="0.3">
      <c r="A10" s="4" t="s">
        <v>166</v>
      </c>
      <c r="B10" s="4" t="s">
        <v>167</v>
      </c>
      <c r="C10" s="16" t="str">
        <f>IF(COUNTIF('GATE-LOG'!L5:L13,"")=0,"PASS","FAIL")</f>
        <v>PASS</v>
      </c>
      <c r="D10" s="4" t="s">
        <v>168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GATE-LOG</vt:lpstr>
      <vt:lpstr>DECISION-DETAIL</vt:lpstr>
      <vt:lpstr>ATTENDANCE-AND-AUTHORITY</vt:lpstr>
      <vt:lpstr>CONTROL-CHECKS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Rity Shree</cp:lastModifiedBy>
  <cp:revision>0</cp:revision>
  <dcterms:created xsi:type="dcterms:W3CDTF">2026-09-10T11:44:52Z</dcterms:created>
  <dcterms:modified xsi:type="dcterms:W3CDTF">2026-09-16T17:36:31Z</dcterms:modified>
  <dc:language>en-US</dc:language>
</cp:coreProperties>
</file>