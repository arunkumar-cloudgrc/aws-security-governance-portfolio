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tyshree\Desktop\"/>
    </mc:Choice>
  </mc:AlternateContent>
  <xr:revisionPtr revIDLastSave="0" documentId="13_ncr:1_{F136E8D0-54D9-4895-829E-47CDEE56BFC4}" xr6:coauthVersionLast="47" xr6:coauthVersionMax="47" xr10:uidLastSave="{00000000-0000-0000-0000-000000000000}"/>
  <bookViews>
    <workbookView xWindow="-108" yWindow="-108" windowWidth="23256" windowHeight="12720" tabRatio="500" xr2:uid="{00000000-000D-0000-FFFF-FFFF00000000}"/>
  </bookViews>
  <sheets>
    <sheet name="README" sheetId="1" r:id="rId1"/>
    <sheet name="VERSION-CONTROL" sheetId="2" r:id="rId2"/>
    <sheet name="REGISTRY" sheetId="3" r:id="rId3"/>
    <sheet name="SCORING-MODEL" sheetId="4" r:id="rId4"/>
    <sheet name="SELECTION-SCORES" sheetId="5" r:id="rId5"/>
    <sheet name="VERIFICATION-STATUS" sheetId="6" r:id="rId6"/>
    <sheet name="APPROVAL-WORKFLOW" sheetId="7" r:id="rId7"/>
    <sheet name="CHANGE-LOG" sheetId="8" r:id="rId8"/>
    <sheet name="RISK-SUMMARY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5" l="1"/>
  <c r="D12" i="5"/>
  <c r="C12" i="5"/>
</calcChain>
</file>

<file path=xl/sharedStrings.xml><?xml version="1.0" encoding="utf-8"?>
<sst xmlns="http://schemas.openxmlformats.org/spreadsheetml/2006/main" count="419" uniqueCount="317">
  <si>
    <t>AI Model Registry</t>
  </si>
  <si>
    <t>Credit Decisioning Assistant — Artefact A-18 | Hybrid architecture: deterministic scoring layer + RAG narration layer</t>
  </si>
  <si>
    <t>Field</t>
  </si>
  <si>
    <t>Detail</t>
  </si>
  <si>
    <t>Purpose</t>
  </si>
  <si>
    <t>System of record for every model component: identity, version, ownership, selection basis, and the date each selection criterion was last verified.</t>
  </si>
  <si>
    <t>The core principle</t>
  </si>
  <si>
    <t>A selection decision with no verification date silently expires. Regional availability, pricing and documentation depth move quarterly.</t>
  </si>
  <si>
    <t>Regulatory Basis</t>
  </si>
  <si>
    <t>EU AI Act Art. 11/Annex IV (Technical Documentation); MAS TRM Ch. 3; ISO/IEC 42001 Cl. 8; SR 11-7 Model Risk Management</t>
  </si>
  <si>
    <t>Version</t>
  </si>
  <si>
    <t>Date</t>
  </si>
  <si>
    <t>Author</t>
  </si>
  <si>
    <t>Reviewer</t>
  </si>
  <si>
    <t>Approver</t>
  </si>
  <si>
    <t>Status</t>
  </si>
  <si>
    <t>v1.0</t>
  </si>
  <si>
    <t>2026-02-08</t>
  </si>
  <si>
    <t>AI-CoE</t>
  </si>
  <si>
    <t>Model Risk</t>
  </si>
  <si>
    <t>Head of Model Risk</t>
  </si>
  <si>
    <t>Superseded</t>
  </si>
  <si>
    <t>Foundation model components only</t>
  </si>
  <si>
    <t>v1.1</t>
  </si>
  <si>
    <t>2026-09-13</t>
  </si>
  <si>
    <t>Recreated for the hybrid architecture. Scoring model entry with training and validation record added</t>
  </si>
  <si>
    <t>AI Governance Lead</t>
  </si>
  <si>
    <t>Ref</t>
  </si>
  <si>
    <t>Role</t>
  </si>
  <si>
    <t>Type</t>
  </si>
  <si>
    <t>Function</t>
  </si>
  <si>
    <t>Provenance</t>
  </si>
  <si>
    <t>Owner</t>
  </si>
  <si>
    <t>Retraining / change trigger</t>
  </si>
  <si>
    <t>MDL-001</t>
  </si>
  <si>
    <t>Scoring model</t>
  </si>
  <si>
    <t>Gradient-boosted trees</t>
  </si>
  <si>
    <t>Produces the credit score and decision recommendation</t>
  </si>
  <si>
    <t>Trained in-house</t>
  </si>
  <si>
    <t>v2.4</t>
  </si>
  <si>
    <t>In production</t>
  </si>
  <si>
    <t>Concept drift &gt; 3 AUC points, or population change</t>
  </si>
  <si>
    <t>MDL-002</t>
  </si>
  <si>
    <t>Generation model</t>
  </si>
  <si>
    <t>Foundation model via managed platform</t>
  </si>
  <si>
    <t>Narrates the score and drivers into a policy-cited rationale</t>
  </si>
  <si>
    <t>Third-party, pinned version</t>
  </si>
  <si>
    <t>Pinned</t>
  </si>
  <si>
    <t>Deprecation notice received — migration in progress</t>
  </si>
  <si>
    <t>Provider version change or deprecation</t>
  </si>
  <si>
    <t>MDL-003</t>
  </si>
  <si>
    <t>Embedding model</t>
  </si>
  <si>
    <t>Text embedding model</t>
  </si>
  <si>
    <t>Converts corpus and queries to vectors for retrieval</t>
  </si>
  <si>
    <t>Current</t>
  </si>
  <si>
    <t>Version change re-indexes the entire corpus</t>
  </si>
  <si>
    <t>MDL-004</t>
  </si>
  <si>
    <t>Grounding evaluator</t>
  </si>
  <si>
    <t>Platform-managed</t>
  </si>
  <si>
    <t>Scores factual consistency of narration against retrieved passages</t>
  </si>
  <si>
    <t>Platform</t>
  </si>
  <si>
    <t>Security Architecture</t>
  </si>
  <si>
    <t>Platform release notes monitored</t>
  </si>
  <si>
    <t>MDL-005</t>
  </si>
  <si>
    <t>Formal rule verifier</t>
  </si>
  <si>
    <t>Platform capability</t>
  </si>
  <si>
    <t>Would verify conclusions against formal policy rules</t>
  </si>
  <si>
    <t>Not deployed</t>
  </si>
  <si>
    <t>—</t>
  </si>
  <si>
    <t>Not available in the required jurisdiction</t>
  </si>
  <si>
    <t>Quarterly availability review</t>
  </si>
  <si>
    <t>Fields the prior foundation-model registry had no place for.</t>
  </si>
  <si>
    <t>Value</t>
  </si>
  <si>
    <t>Model class</t>
  </si>
  <si>
    <t>Gradient-boosted decision trees</t>
  </si>
  <si>
    <t>Training data</t>
  </si>
  <si>
    <t>Historical retail credit outcomes, matured. Version-controlled and hashed at extract</t>
  </si>
  <si>
    <t>Partition</t>
  </si>
  <si>
    <t>70 / 15 / 15 train / validation / test</t>
  </si>
  <si>
    <t>Test partition custody</t>
  </si>
  <si>
    <t>Held by Model Risk, not the build team. Released once at final assessment</t>
  </si>
  <si>
    <t>Why custody is separated</t>
  </si>
  <si>
    <t>The temptation to reuse a validation set as a test set rises exactly as the deadline approaches. The temptation was removed structurally rather than prohibited</t>
  </si>
  <si>
    <t>ROC-AUC (held-out test)</t>
  </si>
  <si>
    <t>0.84 against a floor of 0.78</t>
  </si>
  <si>
    <t>F1 score</t>
  </si>
  <si>
    <t>0.71 against a floor of 0.65</t>
  </si>
  <si>
    <t>Precision / Recall</t>
  </si>
  <si>
    <t>0.74 / 0.68. Operating threshold set slightly toward recall by Credit Risk, with the position recorded rather than implied by the F1 number</t>
  </si>
  <si>
    <t>Calibration (Brier)</t>
  </si>
  <si>
    <t>0.13 against a tolerance of 0.18</t>
  </si>
  <si>
    <t>Generalization gap</t>
  </si>
  <si>
    <t>3.1 AUC points, validation to test, against a tolerance of 5 points</t>
  </si>
  <si>
    <t>Underfitting assessment</t>
  </si>
  <si>
    <t>Training, validation and test performance compared for convergence at or below the ROC-AUC and F1 minimums. No underfitting signal at v2.4</t>
  </si>
  <si>
    <t>Fairness at validation</t>
  </si>
  <si>
    <t>DI ratio 0.89; demographic parity difference 0.06; equal opportunity difference 0.04; group calibration within tolerance</t>
  </si>
  <si>
    <t>Explainability</t>
  </si>
  <si>
    <t>SHAP for global and local attribution; LIME for individual adverse-action explanation in dispute handling</t>
  </si>
  <si>
    <t>Known limitations</t>
  </si>
  <si>
    <t>SHAP assumes feature independence that credit data rarely satisfies; LIME explanations can be unstable across runs. Both stated in the Model Card</t>
  </si>
  <si>
    <t>MRM validation</t>
  </si>
  <si>
    <t>Independent validation by Model Risk at Gate 4. Re-validation required on any retrain</t>
  </si>
  <si>
    <t>Retraining governance</t>
  </si>
  <si>
    <t>Full MRM revalidation including the fairness suite; new Model Card version; test partition re-held by Model Risk</t>
  </si>
  <si>
    <t>Weightings agreed before assessment. Scores 1–5.</t>
  </si>
  <si>
    <t>Criterion</t>
  </si>
  <si>
    <t>Weight</t>
  </si>
  <si>
    <t>Candidate A</t>
  </si>
  <si>
    <t>Candidate B</t>
  </si>
  <si>
    <t>Candidate C</t>
  </si>
  <si>
    <t>Evidence source</t>
  </si>
  <si>
    <t>Last verified</t>
  </si>
  <si>
    <t>Re-verify</t>
  </si>
  <si>
    <t>G-01 Data handling and training exclusion</t>
  </si>
  <si>
    <t>Contractual terms and platform documentation</t>
  </si>
  <si>
    <t>2026-02-05</t>
  </si>
  <si>
    <t>Annual</t>
  </si>
  <si>
    <t>G-02 Regional availability — model and controls</t>
  </si>
  <si>
    <t>Platform regional availability documentation</t>
  </si>
  <si>
    <t>Quarterly</t>
  </si>
  <si>
    <t>G-03 Safety control compatibility</t>
  </si>
  <si>
    <t>Platform control layer documentation</t>
  </si>
  <si>
    <t>G-04 Documentation and provider transparency</t>
  </si>
  <si>
    <t>Published model cards and evaluation methodology</t>
  </si>
  <si>
    <t>2026-02-06</t>
  </si>
  <si>
    <t>G-05 Citation and grounding fidelity</t>
  </si>
  <si>
    <t>Empirical test on the bank's own lending policy corpus</t>
  </si>
  <si>
    <t>2026-02-07</t>
  </si>
  <si>
    <t>G-06 Version lifecycle and deprecation notice</t>
  </si>
  <si>
    <t>Published versioning policy</t>
  </si>
  <si>
    <t>G-07 Total cost predictability</t>
  </si>
  <si>
    <t>Published unit pricing</t>
  </si>
  <si>
    <t>Weighted total</t>
  </si>
  <si>
    <t>Selected</t>
  </si>
  <si>
    <t>No candidate was disqualified at screening. Had any failed G-01, it would have been removed before scoring — a compensating high score elsewhere does not offset an absent training-exclusion guarantee.</t>
  </si>
  <si>
    <t>A criterion past its re-verification date is treated as failed until evidence is restored, not as unchanged.</t>
  </si>
  <si>
    <t>Cadence</t>
  </si>
  <si>
    <t>Due</t>
  </si>
  <si>
    <t>Action</t>
  </si>
  <si>
    <t>G-02 Regional availability</t>
  </si>
  <si>
    <t>2026-05-05</t>
  </si>
  <si>
    <t>OVERDUE</t>
  </si>
  <si>
    <t>Re-verify before the migration cutover — the successor version's control availability is unconfirmed</t>
  </si>
  <si>
    <t>G-05 Citation fidelity</t>
  </si>
  <si>
    <t>2026-05-07</t>
  </si>
  <si>
    <t>Must be re-run against the successor model version as part of the migration test suite</t>
  </si>
  <si>
    <t>G-07 Cost predictability</t>
  </si>
  <si>
    <t>2026-05-06</t>
  </si>
  <si>
    <t>Low materiality but overdue is overdue</t>
  </si>
  <si>
    <t>G-01 Data handling</t>
  </si>
  <si>
    <t>2027-02-05</t>
  </si>
  <si>
    <t>G-03 Control compatibility</t>
  </si>
  <si>
    <t>G-04 Documentation</t>
  </si>
  <si>
    <t>2027-02-06</t>
  </si>
  <si>
    <t>G-06 Version lifecycle</t>
  </si>
  <si>
    <t>Provider has since issued a deprecation notice</t>
  </si>
  <si>
    <t>MDL-001 MRM validation</t>
  </si>
  <si>
    <t>On retrain</t>
  </si>
  <si>
    <t>2026-03-15</t>
  </si>
  <si>
    <t>On next retrain</t>
  </si>
  <si>
    <t>Scoring model v2.4 validated at Gate 4</t>
  </si>
  <si>
    <t>Three quarterly criteria are overdue. Shown rather than quietly refreshed, because the overdue state is the finding — the organisation committed to re-verifying and did not.</t>
  </si>
  <si>
    <t>CDA Component Approval &amp; Gating Workflow</t>
  </si>
  <si>
    <t>Lifecycle stage-gate evidence verification across all Credit Decisioning Assistant model components (Gates 1–5 / D1–D7)</t>
  </si>
  <si>
    <t>Component Role</t>
  </si>
  <si>
    <t>Risk Tier</t>
  </si>
  <si>
    <t>Decision Intent (D1)</t>
  </si>
  <si>
    <t>Data Sheet / Provenance (D2)</t>
  </si>
  <si>
    <t>Evaluation Report (D4)</t>
  </si>
  <si>
    <t>Fairness Memo (D2/D4)</t>
  </si>
  <si>
    <t>Human Oversight (A-36)</t>
  </si>
  <si>
    <t>Threat Model (A-10/39)</t>
  </si>
  <si>
    <t>AGC Approval (Gate 5)</t>
  </si>
  <si>
    <t>Overall Status</t>
  </si>
  <si>
    <t>Governance Notes</t>
  </si>
  <si>
    <t>Credit Scoring Model (XGBoost)</t>
  </si>
  <si>
    <t>Tier 1 High-Risk</t>
  </si>
  <si>
    <t>Yes (D1 Sign-off)</t>
  </si>
  <si>
    <t>Yes (A-14 Lineage)</t>
  </si>
  <si>
    <t>Yes (ROC-AUC 0.84, Brier 0.13)</t>
  </si>
  <si>
    <t>Yes (DIR 0.89 post-remediation)</t>
  </si>
  <si>
    <t>Yes (4 Underwriter Checks)</t>
  </si>
  <si>
    <t>Yes (FM-01 to FM-05 tested)</t>
  </si>
  <si>
    <t>Approved (Gate 5)</t>
  </si>
  <si>
    <t>APPROVED</t>
  </si>
  <si>
    <t>In production; independent MRM validation completed at Gate 4. Next review on retrain.</t>
  </si>
  <si>
    <t>Generation Model (Bedrock Claude)</t>
  </si>
  <si>
    <t>Tier 1 Supporting</t>
  </si>
  <si>
    <t>Yes (Narration-only scope)</t>
  </si>
  <si>
    <t>Yes (Hashed lending corpus)</t>
  </si>
  <si>
    <t>Yes (Grounding tested)</t>
  </si>
  <si>
    <t>Yes (Corpus postal metadata stripped)</t>
  </si>
  <si>
    <t>Yes (3.5-min review floor)</t>
  </si>
  <si>
    <t>Yes (Prompt injection &amp; leaks tested)</t>
  </si>
  <si>
    <t>Conditional (Migration mandate)</t>
  </si>
  <si>
    <t>MIGRATION DUE</t>
  </si>
  <si>
    <t>Pinned foundation model deprecated by cloud provider; successor evaluation underway.</t>
  </si>
  <si>
    <t>Embedding Model (Titan Text)</t>
  </si>
  <si>
    <t>Yes (Chunking protocol)</t>
  </si>
  <si>
    <t>Yes (Recall &amp; chunk diff 1.1)</t>
  </si>
  <si>
    <t>Yes (Proxy bias eliminated)</t>
  </si>
  <si>
    <t>N/A (Pipeline layer)</t>
  </si>
  <si>
    <t>Yes (Vector poisoning assessed)</t>
  </si>
  <si>
    <t>Approved (Gate 3/5)</t>
  </si>
  <si>
    <t>Current; version cutover triggers mandatory re-indexing and hash verification of entire corpus.</t>
  </si>
  <si>
    <t>Grounding Evaluator (Bedrock Guardrails)</t>
  </si>
  <si>
    <t>Tier 1 Control Safeguard</t>
  </si>
  <si>
    <t>Yes (GDR-04 block mandate)</t>
  </si>
  <si>
    <t>N/A (Platform engine)</t>
  </si>
  <si>
    <t>Yes (Grounding score &gt;= 0.75 tested)</t>
  </si>
  <si>
    <t>N/A</t>
  </si>
  <si>
    <t>Yes (Below-threshold block alert)</t>
  </si>
  <si>
    <t>Yes (IAM policy ENF-01 tested)</t>
  </si>
  <si>
    <t>Approved (Gate 3/4)</t>
  </si>
  <si>
    <t>Current; platform-managed service. Release notes monitored quarterly.</t>
  </si>
  <si>
    <t>Formal Rule Verifier (Platform Capability)</t>
  </si>
  <si>
    <t>Yes (Compensating check)</t>
  </si>
  <si>
    <t>Constrained (Regionally unavailable)</t>
  </si>
  <si>
    <t>Compensating Check 2 (A-36)</t>
  </si>
  <si>
    <t>Constrained (R-12 accepted)</t>
  </si>
  <si>
    <t>Exception Granted</t>
  </si>
  <si>
    <t>EXCEPTION</t>
  </si>
  <si>
    <t>Regionally constrained in Singapore ap-southeast-1; subject to mandatory quarterly review.</t>
  </si>
  <si>
    <t>CDA Model Component Change &amp; Deprecation Log</t>
  </si>
  <si>
    <t>Audit-ready chronological record of all model version transitions, retrains, exceptions, and deprecations (Artefact A-40 alignment)</t>
  </si>
  <si>
    <t>Change Date</t>
  </si>
  <si>
    <t>Change Type</t>
  </si>
  <si>
    <t>Previous Version</t>
  </si>
  <si>
    <t>New Version</t>
  </si>
  <si>
    <t>Changed By</t>
  </si>
  <si>
    <t>Approved By</t>
  </si>
  <si>
    <t>Governance Verification &amp; Impact Summary</t>
  </si>
  <si>
    <t>2026-01-15</t>
  </si>
  <si>
    <t>Credit Scoring Model</t>
  </si>
  <si>
    <t>Initial Model Training</t>
  </si>
  <si>
    <t>Amir Hassan (ML Lead)</t>
  </si>
  <si>
    <t>Baseline gradient-boosted decision tree trained on historical retail credit dataset. Model Card drafted.</t>
  </si>
  <si>
    <t>2026-02-10</t>
  </si>
  <si>
    <t>Generation Model</t>
  </si>
  <si>
    <t>Pinned Baseline Deployment</t>
  </si>
  <si>
    <t>Pinned (v1)</t>
  </si>
  <si>
    <t>AI-CoE Engineering</t>
  </si>
  <si>
    <t>AI Governance Committee</t>
  </si>
  <si>
    <t>Deployed via Amazon Bedrock with strict IAM execution policy boundary locks (ENF-01); narration constrained to explanation.</t>
  </si>
  <si>
    <t>2026-02-12</t>
  </si>
  <si>
    <t>Embedding Model</t>
  </si>
  <si>
    <t>Corpus Ingestion &amp; Indexing</t>
  </si>
  <si>
    <t>Embedded bank lending policy corpus into vector store; SHA-256 chunk hash locked at ingestion.</t>
  </si>
  <si>
    <t>2026-02-18</t>
  </si>
  <si>
    <t>Retrain &amp; Custody Partition</t>
  </si>
  <si>
    <t>v2.0</t>
  </si>
  <si>
    <t>Enforced 70/15/15 train/validation/test partition. Test partition custody held exclusively by Model Risk to prevent contamination.</t>
  </si>
  <si>
    <t>2026-03-05</t>
  </si>
  <si>
    <t>Gate 2 Fairness Retrain</t>
  </si>
  <si>
    <t>Head of Model Risk &amp; DPO</t>
  </si>
  <si>
    <t>Remediated Gate 2 fairness block (DIR 0.67): deleted postal district metadata from corpus. Retrained model achieved DIR 0.89.</t>
  </si>
  <si>
    <t>2026-03-10</t>
  </si>
  <si>
    <t>Formal Rule Verifier</t>
  </si>
  <si>
    <t>Operational Exception Logged</t>
  </si>
  <si>
    <t>Not Deployed</t>
  </si>
  <si>
    <t>Logged residual risk R-12 due to Singapore ap-southeast-1 regional unavailability; assigned compensating human underwriter checks.</t>
  </si>
  <si>
    <t>2026-05-15</t>
  </si>
  <si>
    <t>Deprecation Notice Received</t>
  </si>
  <si>
    <t>Migration Scheduled</t>
  </si>
  <si>
    <t>Cloud SecOps / AI-CoE</t>
  </si>
  <si>
    <t>Cloud provider announced retirement for pinned model version. Successor evaluation initiated under G-01 to G-07 criteria.</t>
  </si>
  <si>
    <t>CDA Model Risk &amp; Governance Actions Summary</t>
  </si>
  <si>
    <t>Executive portfolio metrics, component risk posture, and open remediation tracking (A-09 / A-10 / A-43 reconciliation)</t>
  </si>
  <si>
    <t>Portfolio Overview</t>
  </si>
  <si>
    <t>Total Components Registered</t>
  </si>
  <si>
    <t>Components in Production</t>
  </si>
  <si>
    <t>Tier 1 High-Risk Core Models</t>
  </si>
  <si>
    <t>Components with Open Findings</t>
  </si>
  <si>
    <t>Components with Current Approvals</t>
  </si>
  <si>
    <t>Components Overdue for Verification</t>
  </si>
  <si>
    <t>Components Under Migration</t>
  </si>
  <si>
    <t>Components Under Exception Waiver</t>
  </si>
  <si>
    <t>Open Model Risk &amp; Governance Actions</t>
  </si>
  <si>
    <t>Action Ref</t>
  </si>
  <si>
    <t>Component</t>
  </si>
  <si>
    <t>Identified Finding / Risk Driver</t>
  </si>
  <si>
    <t>Remediation Action Required</t>
  </si>
  <si>
    <t>Due Date</t>
  </si>
  <si>
    <t>Priority</t>
  </si>
  <si>
    <t>ACT-001</t>
  </si>
  <si>
    <t>MDL-002 (Bedrock Claude)</t>
  </si>
  <si>
    <t>Cloud provider deprecation notice for pinned foundation model version</t>
  </si>
  <si>
    <t>Complete G-01 to G-07 re-evaluation on successor model candidate; run full regression &amp; fairness harness before cutover</t>
  </si>
  <si>
    <t>AI Governance Lead / AI-CoE</t>
  </si>
  <si>
    <t>2026-10-15</t>
  </si>
  <si>
    <t>HIGH</t>
  </si>
  <si>
    <t>In Progress</t>
  </si>
  <si>
    <t>ACT-002</t>
  </si>
  <si>
    <t>MDL-005 (Rule Verifier)</t>
  </si>
  <si>
    <t>Formal rule entailment guardrail regionally unavailable in Singapore ap-southeast-1 (R-12)</t>
  </si>
  <si>
    <t>Execute quarterly regional availability audit; ensure compensating 4-point human underwriter checks remain actively monitored</t>
  </si>
  <si>
    <t>2026-09-30</t>
  </si>
  <si>
    <t>MEDIUM</t>
  </si>
  <si>
    <t>Open</t>
  </si>
  <si>
    <t>ACT-003</t>
  </si>
  <si>
    <t>Selection Criteria G-02, G-05, G-07</t>
  </si>
  <si>
    <t>Verification dates expired on 2026-05-05/07; staleness check flagged OVERDUE</t>
  </si>
  <si>
    <t>Re-verify regional availability, empirical citation fidelity, and unit pricing against successor model evaluation dossier</t>
  </si>
  <si>
    <t>AI-CoE / Model Risk</t>
  </si>
  <si>
    <t>2026-09-25</t>
  </si>
  <si>
    <t>ACT-004</t>
  </si>
  <si>
    <t>MDL-001 (XGBoost)</t>
  </si>
  <si>
    <t>Concept drift monitoring threshold (&gt; 3 AUC points) baseline maintenance</t>
  </si>
  <si>
    <t>Review monthly PSI and Brier score calibration telemetry; confirm drift floor remains within 0.18 tolerance</t>
  </si>
  <si>
    <t>2026-10-01</t>
  </si>
  <si>
    <t>Version and Approval History</t>
  </si>
  <si>
    <t>Model Registry - All Components</t>
  </si>
  <si>
    <t>MDL-001 Scoring Model - Training and Validation Record</t>
  </si>
  <si>
    <t>Foundation Model Selection - Weighted Assessment</t>
  </si>
  <si>
    <t>Verification Staleness Check</t>
  </si>
  <si>
    <t>Change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</si>
</sst>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375623"/>
      <name val="Arial"/>
      <charset val="1"/>
    </font>
    <font>
      <i/>
      <sz val="9"/>
      <color rgb="FF9C0006"/>
      <name val="Arial"/>
      <charset val="1"/>
    </font>
    <font>
      <b/>
      <sz val="9.5"/>
      <color rgb="FF000000"/>
      <name val="Arial"/>
    </font>
    <font>
      <sz val="9.5"/>
      <color rgb="FF000000"/>
      <name val="Arial"/>
    </font>
    <font>
      <b/>
      <sz val="14"/>
      <color rgb="FF1F3864"/>
      <name val="Arial"/>
    </font>
    <font>
      <i/>
      <sz val="10"/>
      <color rgb="FF595959"/>
      <name val="Arial"/>
    </font>
    <font>
      <b/>
      <sz val="10"/>
      <color rgb="FFFFFFFF"/>
      <name val="Arial"/>
    </font>
    <font>
      <b/>
      <sz val="11"/>
      <color rgb="FF1F3864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2EFDA"/>
        <bgColor rgb="FFDEEAF6"/>
      </patternFill>
    </fill>
    <fill>
      <patternFill patternType="solid">
        <fgColor rgb="FFFFF2CC"/>
        <bgColor rgb="FFE2EFDA"/>
      </patternFill>
    </fill>
    <fill>
      <patternFill patternType="solid">
        <fgColor rgb="FFF8CBAD"/>
        <bgColor rgb="FFFFF2CC"/>
      </patternFill>
    </fill>
    <fill>
      <patternFill patternType="solid">
        <fgColor rgb="FFDEEAF6"/>
        <bgColor rgb="FFE2EFDA"/>
      </patternFill>
    </fill>
    <fill>
      <patternFill patternType="solid">
        <fgColor rgb="FFF2F4F7"/>
        <bgColor rgb="FFF2F4F7"/>
      </patternFill>
    </fill>
    <fill>
      <patternFill patternType="solid">
        <fgColor rgb="FFE2EFDA"/>
        <bgColor rgb="FFE2EFDA"/>
      </patternFill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9" fontId="5" fillId="0" borderId="1" xfId="0" applyNumberFormat="1" applyFont="1" applyBorder="1" applyAlignment="1">
      <alignment vertical="top" wrapText="1"/>
    </xf>
    <xf numFmtId="0" fontId="4" fillId="0" borderId="0" xfId="0" applyFont="1"/>
    <xf numFmtId="2" fontId="4" fillId="6" borderId="0" xfId="0" applyNumberFormat="1" applyFont="1" applyFill="1"/>
    <xf numFmtId="0" fontId="6" fillId="0" borderId="0" xfId="0" applyFont="1"/>
    <xf numFmtId="0" fontId="7" fillId="0" borderId="0" xfId="0" applyFont="1"/>
    <xf numFmtId="0" fontId="8" fillId="7" borderId="2" xfId="0" applyFont="1" applyFill="1" applyBorder="1"/>
    <xf numFmtId="0" fontId="9" fillId="0" borderId="2" xfId="0" applyFont="1" applyBorder="1"/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10" fillId="0" borderId="0" xfId="0" applyFont="1"/>
    <xf numFmtId="0" fontId="11" fillId="0" borderId="0" xfId="0" applyFont="1"/>
    <xf numFmtId="0" fontId="12" fillId="9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8" fillId="11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9" fillId="11" borderId="2" xfId="0" applyFont="1" applyFill="1" applyBorder="1" applyAlignment="1">
      <alignment horizontal="left" vertical="center" wrapText="1"/>
    </xf>
    <xf numFmtId="0" fontId="9" fillId="10" borderId="2" xfId="0" applyFont="1" applyFill="1" applyBorder="1" applyAlignment="1">
      <alignment horizontal="left" vertical="center" wrapText="1"/>
    </xf>
    <xf numFmtId="0" fontId="13" fillId="0" borderId="0" xfId="0" applyFont="1"/>
    <xf numFmtId="0" fontId="8" fillId="7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zoomScaleNormal="100" workbookViewId="0">
      <selection activeCell="A4" sqref="A4"/>
    </sheetView>
  </sheetViews>
  <sheetFormatPr defaultColWidth="8.6640625" defaultRowHeight="14.4" x14ac:dyDescent="0.3"/>
  <cols>
    <col min="1" max="1" width="26" customWidth="1"/>
    <col min="2" max="2" width="112" customWidth="1"/>
  </cols>
  <sheetData>
    <row r="1" spans="1:2" ht="17.399999999999999" customHeight="1" x14ac:dyDescent="0.3">
      <c r="A1" s="1" t="s">
        <v>0</v>
      </c>
    </row>
    <row r="2" spans="1:2" ht="15" customHeight="1" x14ac:dyDescent="0.3">
      <c r="A2" s="2" t="s">
        <v>1</v>
      </c>
    </row>
    <row r="4" spans="1:2" s="31" customFormat="1" ht="15" customHeight="1" x14ac:dyDescent="0.3">
      <c r="A4" s="30" t="s">
        <v>2</v>
      </c>
      <c r="B4" s="30" t="s">
        <v>3</v>
      </c>
    </row>
    <row r="5" spans="1:2" ht="49.5" customHeight="1" x14ac:dyDescent="0.3">
      <c r="A5" s="3" t="s">
        <v>4</v>
      </c>
      <c r="B5" s="4" t="s">
        <v>5</v>
      </c>
    </row>
    <row r="6" spans="1:2" ht="49.5" customHeight="1" x14ac:dyDescent="0.3">
      <c r="A6" s="3" t="s">
        <v>6</v>
      </c>
      <c r="B6" s="4" t="s">
        <v>7</v>
      </c>
    </row>
    <row r="7" spans="1:2" x14ac:dyDescent="0.3">
      <c r="A7" s="13" t="s">
        <v>8</v>
      </c>
      <c r="B7" s="14" t="s">
        <v>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zoomScaleNormal="100" workbookViewId="0">
      <selection activeCell="G3" sqref="G3"/>
    </sheetView>
  </sheetViews>
  <sheetFormatPr defaultColWidth="8.6640625" defaultRowHeight="14.4" x14ac:dyDescent="0.3"/>
  <cols>
    <col min="1" max="1" width="10" customWidth="1"/>
    <col min="2" max="2" width="13" customWidth="1"/>
    <col min="3" max="3" width="20" customWidth="1"/>
    <col min="4" max="4" width="24" customWidth="1"/>
    <col min="5" max="5" width="22" customWidth="1"/>
    <col min="6" max="6" width="14" customWidth="1"/>
    <col min="7" max="7" width="62" customWidth="1"/>
  </cols>
  <sheetData>
    <row r="1" spans="1:7" ht="17.399999999999999" customHeight="1" x14ac:dyDescent="0.3">
      <c r="A1" s="1" t="s">
        <v>311</v>
      </c>
    </row>
    <row r="4" spans="1:7" s="31" customFormat="1" ht="15" customHeight="1" x14ac:dyDescent="0.3">
      <c r="A4" s="30" t="s">
        <v>10</v>
      </c>
      <c r="B4" s="30" t="s">
        <v>11</v>
      </c>
      <c r="C4" s="30" t="s">
        <v>12</v>
      </c>
      <c r="D4" s="30" t="s">
        <v>13</v>
      </c>
      <c r="E4" s="30" t="s">
        <v>14</v>
      </c>
      <c r="F4" s="30" t="s">
        <v>15</v>
      </c>
      <c r="G4" s="30" t="s">
        <v>316</v>
      </c>
    </row>
    <row r="5" spans="1:7" ht="33.75" customHeight="1" x14ac:dyDescent="0.3">
      <c r="A5" s="4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</row>
    <row r="6" spans="1:7" ht="33.75" customHeight="1" x14ac:dyDescent="0.3">
      <c r="A6" s="4" t="s">
        <v>23</v>
      </c>
      <c r="B6" s="4" t="s">
        <v>24</v>
      </c>
      <c r="C6" s="4" t="s">
        <v>18</v>
      </c>
      <c r="D6" s="4" t="s">
        <v>19</v>
      </c>
      <c r="E6" s="4" t="s">
        <v>20</v>
      </c>
      <c r="F6" s="4" t="s">
        <v>21</v>
      </c>
      <c r="G6" s="4" t="s">
        <v>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"/>
  <sheetViews>
    <sheetView zoomScaleNormal="100" workbookViewId="0">
      <selection activeCell="A4" sqref="A4"/>
    </sheetView>
  </sheetViews>
  <sheetFormatPr defaultColWidth="8.6640625" defaultRowHeight="14.4" x14ac:dyDescent="0.3"/>
  <cols>
    <col min="1" max="1" width="10" customWidth="1"/>
    <col min="2" max="2" width="20" customWidth="1"/>
    <col min="3" max="3" width="26" customWidth="1"/>
    <col min="4" max="4" width="44" customWidth="1"/>
    <col min="5" max="5" width="24" customWidth="1"/>
    <col min="6" max="6" width="12" customWidth="1"/>
    <col min="7" max="7" width="20" customWidth="1"/>
    <col min="8" max="8" width="36" customWidth="1"/>
    <col min="9" max="9" width="38" customWidth="1"/>
  </cols>
  <sheetData>
    <row r="1" spans="1:9" ht="17.399999999999999" customHeight="1" x14ac:dyDescent="0.3">
      <c r="A1" s="1" t="s">
        <v>312</v>
      </c>
    </row>
    <row r="4" spans="1:9" s="31" customFormat="1" ht="15" customHeight="1" x14ac:dyDescent="0.3">
      <c r="A4" s="30" t="s">
        <v>27</v>
      </c>
      <c r="B4" s="30" t="s">
        <v>28</v>
      </c>
      <c r="C4" s="30" t="s">
        <v>29</v>
      </c>
      <c r="D4" s="30" t="s">
        <v>30</v>
      </c>
      <c r="E4" s="30" t="s">
        <v>31</v>
      </c>
      <c r="F4" s="30" t="s">
        <v>10</v>
      </c>
      <c r="G4" s="30" t="s">
        <v>32</v>
      </c>
      <c r="H4" s="30" t="s">
        <v>15</v>
      </c>
      <c r="I4" s="30" t="s">
        <v>33</v>
      </c>
    </row>
    <row r="5" spans="1:9" ht="48" customHeight="1" x14ac:dyDescent="0.3">
      <c r="A5" s="5" t="s">
        <v>34</v>
      </c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  <c r="G5" s="5" t="s">
        <v>20</v>
      </c>
      <c r="H5" s="5" t="s">
        <v>40</v>
      </c>
      <c r="I5" s="5" t="s">
        <v>41</v>
      </c>
    </row>
    <row r="6" spans="1:9" ht="48" customHeight="1" x14ac:dyDescent="0.3">
      <c r="A6" s="6" t="s">
        <v>42</v>
      </c>
      <c r="B6" s="6" t="s">
        <v>43</v>
      </c>
      <c r="C6" s="6" t="s">
        <v>44</v>
      </c>
      <c r="D6" s="6" t="s">
        <v>45</v>
      </c>
      <c r="E6" s="6" t="s">
        <v>46</v>
      </c>
      <c r="F6" s="6" t="s">
        <v>47</v>
      </c>
      <c r="G6" s="6" t="s">
        <v>26</v>
      </c>
      <c r="H6" s="6" t="s">
        <v>48</v>
      </c>
      <c r="I6" s="6" t="s">
        <v>49</v>
      </c>
    </row>
    <row r="7" spans="1:9" ht="48" customHeight="1" x14ac:dyDescent="0.3">
      <c r="A7" s="5" t="s">
        <v>50</v>
      </c>
      <c r="B7" s="5" t="s">
        <v>51</v>
      </c>
      <c r="C7" s="5" t="s">
        <v>52</v>
      </c>
      <c r="D7" s="5" t="s">
        <v>53</v>
      </c>
      <c r="E7" s="5" t="s">
        <v>46</v>
      </c>
      <c r="F7" s="5" t="s">
        <v>47</v>
      </c>
      <c r="G7" s="5" t="s">
        <v>18</v>
      </c>
      <c r="H7" s="5" t="s">
        <v>54</v>
      </c>
      <c r="I7" s="5" t="s">
        <v>55</v>
      </c>
    </row>
    <row r="8" spans="1:9" ht="48" customHeight="1" x14ac:dyDescent="0.3">
      <c r="A8" s="5" t="s">
        <v>56</v>
      </c>
      <c r="B8" s="5" t="s">
        <v>57</v>
      </c>
      <c r="C8" s="5" t="s">
        <v>58</v>
      </c>
      <c r="D8" s="5" t="s">
        <v>59</v>
      </c>
      <c r="E8" s="5" t="s">
        <v>58</v>
      </c>
      <c r="F8" s="5" t="s">
        <v>60</v>
      </c>
      <c r="G8" s="5" t="s">
        <v>61</v>
      </c>
      <c r="H8" s="5" t="s">
        <v>54</v>
      </c>
      <c r="I8" s="5" t="s">
        <v>62</v>
      </c>
    </row>
    <row r="9" spans="1:9" ht="48" customHeight="1" x14ac:dyDescent="0.3">
      <c r="A9" s="7" t="s">
        <v>63</v>
      </c>
      <c r="B9" s="7" t="s">
        <v>64</v>
      </c>
      <c r="C9" s="7" t="s">
        <v>65</v>
      </c>
      <c r="D9" s="7" t="s">
        <v>66</v>
      </c>
      <c r="E9" s="7" t="s">
        <v>67</v>
      </c>
      <c r="F9" s="7" t="s">
        <v>68</v>
      </c>
      <c r="G9" s="7" t="s">
        <v>26</v>
      </c>
      <c r="H9" s="7" t="s">
        <v>69</v>
      </c>
      <c r="I9" s="7" t="s">
        <v>70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zoomScaleNormal="100" workbookViewId="0">
      <selection activeCell="A4" sqref="A4"/>
    </sheetView>
  </sheetViews>
  <sheetFormatPr defaultColWidth="8.6640625" defaultRowHeight="14.4" x14ac:dyDescent="0.3"/>
  <cols>
    <col min="1" max="1" width="30" customWidth="1"/>
    <col min="2" max="2" width="110" customWidth="1"/>
  </cols>
  <sheetData>
    <row r="1" spans="1:2" ht="17.399999999999999" customHeight="1" x14ac:dyDescent="0.3">
      <c r="A1" s="1" t="s">
        <v>313</v>
      </c>
    </row>
    <row r="2" spans="1:2" ht="15" customHeight="1" x14ac:dyDescent="0.3">
      <c r="A2" s="2" t="s">
        <v>71</v>
      </c>
    </row>
    <row r="4" spans="1:2" s="31" customFormat="1" ht="15" customHeight="1" x14ac:dyDescent="0.3">
      <c r="A4" s="30" t="s">
        <v>2</v>
      </c>
      <c r="B4" s="30" t="s">
        <v>72</v>
      </c>
    </row>
    <row r="5" spans="1:2" ht="39.75" customHeight="1" x14ac:dyDescent="0.3">
      <c r="A5" s="4" t="s">
        <v>73</v>
      </c>
      <c r="B5" s="4" t="s">
        <v>74</v>
      </c>
    </row>
    <row r="6" spans="1:2" ht="39.75" customHeight="1" x14ac:dyDescent="0.3">
      <c r="A6" s="4" t="s">
        <v>75</v>
      </c>
      <c r="B6" s="4" t="s">
        <v>76</v>
      </c>
    </row>
    <row r="7" spans="1:2" ht="39.75" customHeight="1" x14ac:dyDescent="0.3">
      <c r="A7" s="4" t="s">
        <v>77</v>
      </c>
      <c r="B7" s="4" t="s">
        <v>78</v>
      </c>
    </row>
    <row r="8" spans="1:2" ht="39.75" customHeight="1" x14ac:dyDescent="0.3">
      <c r="A8" s="4" t="s">
        <v>79</v>
      </c>
      <c r="B8" s="4" t="s">
        <v>80</v>
      </c>
    </row>
    <row r="9" spans="1:2" ht="39.75" customHeight="1" x14ac:dyDescent="0.3">
      <c r="A9" s="4" t="s">
        <v>81</v>
      </c>
      <c r="B9" s="4" t="s">
        <v>82</v>
      </c>
    </row>
    <row r="10" spans="1:2" ht="39.75" customHeight="1" x14ac:dyDescent="0.3">
      <c r="A10" s="4" t="s">
        <v>83</v>
      </c>
      <c r="B10" s="4" t="s">
        <v>84</v>
      </c>
    </row>
    <row r="11" spans="1:2" ht="39.75" customHeight="1" x14ac:dyDescent="0.3">
      <c r="A11" s="4" t="s">
        <v>85</v>
      </c>
      <c r="B11" s="4" t="s">
        <v>86</v>
      </c>
    </row>
    <row r="12" spans="1:2" ht="39.75" customHeight="1" x14ac:dyDescent="0.3">
      <c r="A12" s="4" t="s">
        <v>87</v>
      </c>
      <c r="B12" s="4" t="s">
        <v>88</v>
      </c>
    </row>
    <row r="13" spans="1:2" ht="39.75" customHeight="1" x14ac:dyDescent="0.3">
      <c r="A13" s="4" t="s">
        <v>89</v>
      </c>
      <c r="B13" s="4" t="s">
        <v>90</v>
      </c>
    </row>
    <row r="14" spans="1:2" ht="39.75" customHeight="1" x14ac:dyDescent="0.3">
      <c r="A14" s="4" t="s">
        <v>91</v>
      </c>
      <c r="B14" s="4" t="s">
        <v>92</v>
      </c>
    </row>
    <row r="15" spans="1:2" ht="39.75" customHeight="1" x14ac:dyDescent="0.3">
      <c r="A15" s="4" t="s">
        <v>93</v>
      </c>
      <c r="B15" s="4" t="s">
        <v>94</v>
      </c>
    </row>
    <row r="16" spans="1:2" ht="39.75" customHeight="1" x14ac:dyDescent="0.3">
      <c r="A16" s="4" t="s">
        <v>95</v>
      </c>
      <c r="B16" s="4" t="s">
        <v>96</v>
      </c>
    </row>
    <row r="17" spans="1:2" ht="39.75" customHeight="1" x14ac:dyDescent="0.3">
      <c r="A17" s="4" t="s">
        <v>97</v>
      </c>
      <c r="B17" s="4" t="s">
        <v>98</v>
      </c>
    </row>
    <row r="18" spans="1:2" ht="39.75" customHeight="1" x14ac:dyDescent="0.3">
      <c r="A18" s="4" t="s">
        <v>99</v>
      </c>
      <c r="B18" s="4" t="s">
        <v>100</v>
      </c>
    </row>
    <row r="19" spans="1:2" ht="39.75" customHeight="1" x14ac:dyDescent="0.3">
      <c r="A19" s="4" t="s">
        <v>101</v>
      </c>
      <c r="B19" s="4" t="s">
        <v>102</v>
      </c>
    </row>
    <row r="20" spans="1:2" ht="39.75" customHeight="1" x14ac:dyDescent="0.3">
      <c r="A20" s="4" t="s">
        <v>103</v>
      </c>
      <c r="B20" s="4" t="s">
        <v>104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"/>
  <sheetViews>
    <sheetView zoomScaleNormal="100" workbookViewId="0">
      <selection activeCell="A4" sqref="A4"/>
    </sheetView>
  </sheetViews>
  <sheetFormatPr defaultColWidth="8.6640625" defaultRowHeight="14.4" x14ac:dyDescent="0.3"/>
  <cols>
    <col min="1" max="1" width="42" customWidth="1"/>
    <col min="2" max="2" width="10" customWidth="1"/>
    <col min="3" max="5" width="14" customWidth="1"/>
    <col min="6" max="6" width="46" customWidth="1"/>
    <col min="7" max="7" width="14" customWidth="1"/>
    <col min="8" max="8" width="12" customWidth="1"/>
  </cols>
  <sheetData>
    <row r="1" spans="1:8" ht="17.399999999999999" customHeight="1" x14ac:dyDescent="0.3">
      <c r="A1" s="1" t="s">
        <v>314</v>
      </c>
    </row>
    <row r="2" spans="1:8" ht="15" customHeight="1" x14ac:dyDescent="0.3">
      <c r="A2" s="2" t="s">
        <v>105</v>
      </c>
    </row>
    <row r="4" spans="1:8" s="31" customFormat="1" ht="15" customHeight="1" x14ac:dyDescent="0.3">
      <c r="A4" s="30" t="s">
        <v>106</v>
      </c>
      <c r="B4" s="30" t="s">
        <v>107</v>
      </c>
      <c r="C4" s="30" t="s">
        <v>108</v>
      </c>
      <c r="D4" s="30" t="s">
        <v>109</v>
      </c>
      <c r="E4" s="30" t="s">
        <v>110</v>
      </c>
      <c r="F4" s="30" t="s">
        <v>111</v>
      </c>
      <c r="G4" s="30" t="s">
        <v>112</v>
      </c>
      <c r="H4" s="30" t="s">
        <v>113</v>
      </c>
    </row>
    <row r="5" spans="1:8" ht="33.75" customHeight="1" x14ac:dyDescent="0.3">
      <c r="A5" s="4" t="s">
        <v>114</v>
      </c>
      <c r="B5" s="8">
        <v>0.25</v>
      </c>
      <c r="C5" s="4">
        <v>5</v>
      </c>
      <c r="D5" s="4">
        <v>5</v>
      </c>
      <c r="E5" s="4">
        <v>5</v>
      </c>
      <c r="F5" s="4" t="s">
        <v>115</v>
      </c>
      <c r="G5" s="4" t="s">
        <v>116</v>
      </c>
      <c r="H5" s="4" t="s">
        <v>117</v>
      </c>
    </row>
    <row r="6" spans="1:8" ht="33.75" customHeight="1" x14ac:dyDescent="0.3">
      <c r="A6" s="4" t="s">
        <v>118</v>
      </c>
      <c r="B6" s="8">
        <v>0.2</v>
      </c>
      <c r="C6" s="4">
        <v>5</v>
      </c>
      <c r="D6" s="4">
        <v>4</v>
      </c>
      <c r="E6" s="4">
        <v>3</v>
      </c>
      <c r="F6" s="4" t="s">
        <v>119</v>
      </c>
      <c r="G6" s="4" t="s">
        <v>116</v>
      </c>
      <c r="H6" s="4" t="s">
        <v>120</v>
      </c>
    </row>
    <row r="7" spans="1:8" ht="33.75" customHeight="1" x14ac:dyDescent="0.3">
      <c r="A7" s="4" t="s">
        <v>121</v>
      </c>
      <c r="B7" s="8">
        <v>0.15</v>
      </c>
      <c r="C7" s="4">
        <v>5</v>
      </c>
      <c r="D7" s="4">
        <v>5</v>
      </c>
      <c r="E7" s="4">
        <v>5</v>
      </c>
      <c r="F7" s="4" t="s">
        <v>122</v>
      </c>
      <c r="G7" s="4" t="s">
        <v>116</v>
      </c>
      <c r="H7" s="4" t="s">
        <v>117</v>
      </c>
    </row>
    <row r="8" spans="1:8" ht="33.75" customHeight="1" x14ac:dyDescent="0.3">
      <c r="A8" s="4" t="s">
        <v>123</v>
      </c>
      <c r="B8" s="8">
        <v>0.15</v>
      </c>
      <c r="C8" s="4">
        <v>5</v>
      </c>
      <c r="D8" s="4">
        <v>4</v>
      </c>
      <c r="E8" s="4">
        <v>4</v>
      </c>
      <c r="F8" s="4" t="s">
        <v>124</v>
      </c>
      <c r="G8" s="4" t="s">
        <v>125</v>
      </c>
      <c r="H8" s="4" t="s">
        <v>117</v>
      </c>
    </row>
    <row r="9" spans="1:8" ht="33.75" customHeight="1" x14ac:dyDescent="0.3">
      <c r="A9" s="4" t="s">
        <v>126</v>
      </c>
      <c r="B9" s="8">
        <v>0.1</v>
      </c>
      <c r="C9" s="4">
        <v>4</v>
      </c>
      <c r="D9" s="4">
        <v>4</v>
      </c>
      <c r="E9" s="4">
        <v>3</v>
      </c>
      <c r="F9" s="4" t="s">
        <v>127</v>
      </c>
      <c r="G9" s="4" t="s">
        <v>128</v>
      </c>
      <c r="H9" s="4" t="s">
        <v>120</v>
      </c>
    </row>
    <row r="10" spans="1:8" ht="33.75" customHeight="1" x14ac:dyDescent="0.3">
      <c r="A10" s="4" t="s">
        <v>129</v>
      </c>
      <c r="B10" s="8">
        <v>0.1</v>
      </c>
      <c r="C10" s="4">
        <v>4</v>
      </c>
      <c r="D10" s="4">
        <v>3</v>
      </c>
      <c r="E10" s="4">
        <v>3</v>
      </c>
      <c r="F10" s="4" t="s">
        <v>130</v>
      </c>
      <c r="G10" s="4" t="s">
        <v>125</v>
      </c>
      <c r="H10" s="4" t="s">
        <v>117</v>
      </c>
    </row>
    <row r="11" spans="1:8" ht="33.75" customHeight="1" x14ac:dyDescent="0.3">
      <c r="A11" s="4" t="s">
        <v>131</v>
      </c>
      <c r="B11" s="8">
        <v>0.05</v>
      </c>
      <c r="C11" s="4">
        <v>4</v>
      </c>
      <c r="D11" s="4">
        <v>4</v>
      </c>
      <c r="E11" s="4">
        <v>4</v>
      </c>
      <c r="F11" s="4" t="s">
        <v>132</v>
      </c>
      <c r="G11" s="4" t="s">
        <v>125</v>
      </c>
      <c r="H11" s="4" t="s">
        <v>120</v>
      </c>
    </row>
    <row r="12" spans="1:8" ht="15" customHeight="1" x14ac:dyDescent="0.3">
      <c r="A12" s="9" t="s">
        <v>133</v>
      </c>
      <c r="C12" s="10">
        <f>SUMPRODUCT($B$5:$B$11,C5:C11)</f>
        <v>4.7500000000000009</v>
      </c>
      <c r="D12" s="10">
        <f>SUMPRODUCT($B$5:$B$11,D5:D11)</f>
        <v>4.3</v>
      </c>
      <c r="E12" s="10">
        <f>SUMPRODUCT($B$5:$B$11,E5:E11)</f>
        <v>4</v>
      </c>
    </row>
    <row r="13" spans="1:8" ht="15" customHeight="1" x14ac:dyDescent="0.3">
      <c r="A13" s="9" t="s">
        <v>134</v>
      </c>
      <c r="C13" s="11" t="s">
        <v>108</v>
      </c>
    </row>
    <row r="15" spans="1:8" ht="15" customHeight="1" x14ac:dyDescent="0.3">
      <c r="A15" s="2" t="s">
        <v>135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4"/>
  <sheetViews>
    <sheetView zoomScaleNormal="100" workbookViewId="0">
      <selection activeCell="A4" sqref="A4"/>
    </sheetView>
  </sheetViews>
  <sheetFormatPr defaultColWidth="8.6640625" defaultRowHeight="14.4" x14ac:dyDescent="0.3"/>
  <cols>
    <col min="1" max="1" width="32" customWidth="1"/>
    <col min="2" max="3" width="14" customWidth="1"/>
    <col min="4" max="4" width="16" customWidth="1"/>
    <col min="5" max="5" width="12" customWidth="1"/>
    <col min="6" max="6" width="72" customWidth="1"/>
  </cols>
  <sheetData>
    <row r="1" spans="1:6" ht="17.399999999999999" customHeight="1" x14ac:dyDescent="0.3">
      <c r="A1" s="1" t="s">
        <v>315</v>
      </c>
    </row>
    <row r="2" spans="1:6" ht="15" customHeight="1" x14ac:dyDescent="0.3">
      <c r="A2" s="2" t="s">
        <v>136</v>
      </c>
    </row>
    <row r="4" spans="1:6" s="31" customFormat="1" ht="15" customHeight="1" x14ac:dyDescent="0.3">
      <c r="A4" s="30" t="s">
        <v>106</v>
      </c>
      <c r="B4" s="30" t="s">
        <v>137</v>
      </c>
      <c r="C4" s="30" t="s">
        <v>112</v>
      </c>
      <c r="D4" s="30" t="s">
        <v>138</v>
      </c>
      <c r="E4" s="30" t="s">
        <v>15</v>
      </c>
      <c r="F4" s="30" t="s">
        <v>139</v>
      </c>
    </row>
    <row r="5" spans="1:6" ht="33.75" customHeight="1" x14ac:dyDescent="0.3">
      <c r="A5" s="7" t="s">
        <v>140</v>
      </c>
      <c r="B5" s="7" t="s">
        <v>120</v>
      </c>
      <c r="C5" s="7" t="s">
        <v>116</v>
      </c>
      <c r="D5" s="7" t="s">
        <v>141</v>
      </c>
      <c r="E5" s="7" t="s">
        <v>142</v>
      </c>
      <c r="F5" s="7" t="s">
        <v>143</v>
      </c>
    </row>
    <row r="6" spans="1:6" ht="33.75" customHeight="1" x14ac:dyDescent="0.3">
      <c r="A6" s="7" t="s">
        <v>144</v>
      </c>
      <c r="B6" s="7" t="s">
        <v>120</v>
      </c>
      <c r="C6" s="7" t="s">
        <v>128</v>
      </c>
      <c r="D6" s="7" t="s">
        <v>145</v>
      </c>
      <c r="E6" s="7" t="s">
        <v>142</v>
      </c>
      <c r="F6" s="7" t="s">
        <v>146</v>
      </c>
    </row>
    <row r="7" spans="1:6" ht="33.75" customHeight="1" x14ac:dyDescent="0.3">
      <c r="A7" s="7" t="s">
        <v>147</v>
      </c>
      <c r="B7" s="7" t="s">
        <v>120</v>
      </c>
      <c r="C7" s="7" t="s">
        <v>125</v>
      </c>
      <c r="D7" s="7" t="s">
        <v>148</v>
      </c>
      <c r="E7" s="7" t="s">
        <v>142</v>
      </c>
      <c r="F7" s="7" t="s">
        <v>149</v>
      </c>
    </row>
    <row r="8" spans="1:6" ht="33.75" customHeight="1" x14ac:dyDescent="0.3">
      <c r="A8" s="5" t="s">
        <v>150</v>
      </c>
      <c r="B8" s="5" t="s">
        <v>117</v>
      </c>
      <c r="C8" s="5" t="s">
        <v>116</v>
      </c>
      <c r="D8" s="5" t="s">
        <v>151</v>
      </c>
      <c r="E8" s="5" t="s">
        <v>54</v>
      </c>
      <c r="F8" s="5"/>
    </row>
    <row r="9" spans="1:6" ht="33.75" customHeight="1" x14ac:dyDescent="0.3">
      <c r="A9" s="5" t="s">
        <v>152</v>
      </c>
      <c r="B9" s="5" t="s">
        <v>117</v>
      </c>
      <c r="C9" s="5" t="s">
        <v>116</v>
      </c>
      <c r="D9" s="5" t="s">
        <v>151</v>
      </c>
      <c r="E9" s="5" t="s">
        <v>54</v>
      </c>
      <c r="F9" s="5"/>
    </row>
    <row r="10" spans="1:6" ht="33.75" customHeight="1" x14ac:dyDescent="0.3">
      <c r="A10" s="5" t="s">
        <v>153</v>
      </c>
      <c r="B10" s="5" t="s">
        <v>117</v>
      </c>
      <c r="C10" s="5" t="s">
        <v>125</v>
      </c>
      <c r="D10" s="5" t="s">
        <v>154</v>
      </c>
      <c r="E10" s="5" t="s">
        <v>54</v>
      </c>
      <c r="F10" s="5"/>
    </row>
    <row r="11" spans="1:6" ht="33.75" customHeight="1" x14ac:dyDescent="0.3">
      <c r="A11" s="5" t="s">
        <v>155</v>
      </c>
      <c r="B11" s="5" t="s">
        <v>117</v>
      </c>
      <c r="C11" s="5" t="s">
        <v>125</v>
      </c>
      <c r="D11" s="5" t="s">
        <v>154</v>
      </c>
      <c r="E11" s="5" t="s">
        <v>54</v>
      </c>
      <c r="F11" s="5" t="s">
        <v>156</v>
      </c>
    </row>
    <row r="12" spans="1:6" ht="33.75" customHeight="1" x14ac:dyDescent="0.3">
      <c r="A12" s="5" t="s">
        <v>157</v>
      </c>
      <c r="B12" s="5" t="s">
        <v>158</v>
      </c>
      <c r="C12" s="5" t="s">
        <v>159</v>
      </c>
      <c r="D12" s="5" t="s">
        <v>160</v>
      </c>
      <c r="E12" s="5" t="s">
        <v>54</v>
      </c>
      <c r="F12" s="5" t="s">
        <v>161</v>
      </c>
    </row>
    <row r="14" spans="1:6" ht="15" customHeight="1" x14ac:dyDescent="0.3">
      <c r="A14" s="12" t="s">
        <v>162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"/>
  <sheetViews>
    <sheetView workbookViewId="0"/>
  </sheetViews>
  <sheetFormatPr defaultRowHeight="14.4" x14ac:dyDescent="0.3"/>
  <cols>
    <col min="1" max="1" width="12" customWidth="1"/>
    <col min="2" max="2" width="34" customWidth="1"/>
    <col min="3" max="4" width="18" customWidth="1"/>
    <col min="5" max="5" width="20" customWidth="1"/>
    <col min="6" max="7" width="24" customWidth="1"/>
    <col min="8" max="9" width="22" customWidth="1"/>
    <col min="10" max="10" width="20" customWidth="1"/>
    <col min="11" max="11" width="18" customWidth="1"/>
    <col min="12" max="12" width="50" customWidth="1"/>
  </cols>
  <sheetData>
    <row r="1" spans="1:12" ht="17.399999999999999" x14ac:dyDescent="0.3">
      <c r="A1" s="18" t="s">
        <v>163</v>
      </c>
    </row>
    <row r="2" spans="1:12" x14ac:dyDescent="0.3">
      <c r="A2" s="19" t="s">
        <v>164</v>
      </c>
    </row>
    <row r="4" spans="1:12" ht="26.4" x14ac:dyDescent="0.3">
      <c r="A4" s="20" t="s">
        <v>27</v>
      </c>
      <c r="B4" s="20" t="s">
        <v>165</v>
      </c>
      <c r="C4" s="20" t="s">
        <v>166</v>
      </c>
      <c r="D4" s="20" t="s">
        <v>167</v>
      </c>
      <c r="E4" s="20" t="s">
        <v>168</v>
      </c>
      <c r="F4" s="20" t="s">
        <v>169</v>
      </c>
      <c r="G4" s="20" t="s">
        <v>170</v>
      </c>
      <c r="H4" s="20" t="s">
        <v>171</v>
      </c>
      <c r="I4" s="20" t="s">
        <v>172</v>
      </c>
      <c r="J4" s="20" t="s">
        <v>173</v>
      </c>
      <c r="K4" s="20" t="s">
        <v>174</v>
      </c>
      <c r="L4" s="20" t="s">
        <v>175</v>
      </c>
    </row>
    <row r="5" spans="1:12" ht="24" x14ac:dyDescent="0.3">
      <c r="A5" s="15" t="s">
        <v>34</v>
      </c>
      <c r="B5" s="17" t="s">
        <v>176</v>
      </c>
      <c r="C5" s="16" t="s">
        <v>177</v>
      </c>
      <c r="D5" s="17" t="s">
        <v>178</v>
      </c>
      <c r="E5" s="17" t="s">
        <v>179</v>
      </c>
      <c r="F5" s="17" t="s">
        <v>180</v>
      </c>
      <c r="G5" s="17" t="s">
        <v>181</v>
      </c>
      <c r="H5" s="17" t="s">
        <v>182</v>
      </c>
      <c r="I5" s="17" t="s">
        <v>183</v>
      </c>
      <c r="J5" s="16" t="s">
        <v>184</v>
      </c>
      <c r="K5" s="21" t="s">
        <v>185</v>
      </c>
      <c r="L5" s="17" t="s">
        <v>186</v>
      </c>
    </row>
    <row r="6" spans="1:12" ht="24" x14ac:dyDescent="0.3">
      <c r="A6" s="15" t="s">
        <v>42</v>
      </c>
      <c r="B6" s="17" t="s">
        <v>187</v>
      </c>
      <c r="C6" s="16" t="s">
        <v>188</v>
      </c>
      <c r="D6" s="17" t="s">
        <v>189</v>
      </c>
      <c r="E6" s="17" t="s">
        <v>190</v>
      </c>
      <c r="F6" s="17" t="s">
        <v>191</v>
      </c>
      <c r="G6" s="17" t="s">
        <v>192</v>
      </c>
      <c r="H6" s="17" t="s">
        <v>193</v>
      </c>
      <c r="I6" s="17" t="s">
        <v>194</v>
      </c>
      <c r="J6" s="16" t="s">
        <v>195</v>
      </c>
      <c r="K6" s="22" t="s">
        <v>196</v>
      </c>
      <c r="L6" s="17" t="s">
        <v>197</v>
      </c>
    </row>
    <row r="7" spans="1:12" ht="24" x14ac:dyDescent="0.3">
      <c r="A7" s="15" t="s">
        <v>50</v>
      </c>
      <c r="B7" s="17" t="s">
        <v>198</v>
      </c>
      <c r="C7" s="16" t="s">
        <v>188</v>
      </c>
      <c r="D7" s="17" t="s">
        <v>178</v>
      </c>
      <c r="E7" s="17" t="s">
        <v>199</v>
      </c>
      <c r="F7" s="17" t="s">
        <v>200</v>
      </c>
      <c r="G7" s="17" t="s">
        <v>201</v>
      </c>
      <c r="H7" s="17" t="s">
        <v>202</v>
      </c>
      <c r="I7" s="17" t="s">
        <v>203</v>
      </c>
      <c r="J7" s="16" t="s">
        <v>204</v>
      </c>
      <c r="K7" s="21" t="s">
        <v>185</v>
      </c>
      <c r="L7" s="17" t="s">
        <v>205</v>
      </c>
    </row>
    <row r="8" spans="1:12" ht="24" x14ac:dyDescent="0.3">
      <c r="A8" s="15" t="s">
        <v>56</v>
      </c>
      <c r="B8" s="17" t="s">
        <v>206</v>
      </c>
      <c r="C8" s="16" t="s">
        <v>207</v>
      </c>
      <c r="D8" s="17" t="s">
        <v>208</v>
      </c>
      <c r="E8" s="17" t="s">
        <v>209</v>
      </c>
      <c r="F8" s="17" t="s">
        <v>210</v>
      </c>
      <c r="G8" s="17" t="s">
        <v>211</v>
      </c>
      <c r="H8" s="17" t="s">
        <v>212</v>
      </c>
      <c r="I8" s="17" t="s">
        <v>213</v>
      </c>
      <c r="J8" s="16" t="s">
        <v>214</v>
      </c>
      <c r="K8" s="21" t="s">
        <v>185</v>
      </c>
      <c r="L8" s="17" t="s">
        <v>215</v>
      </c>
    </row>
    <row r="9" spans="1:12" ht="24" x14ac:dyDescent="0.3">
      <c r="A9" s="15" t="s">
        <v>63</v>
      </c>
      <c r="B9" s="17" t="s">
        <v>216</v>
      </c>
      <c r="C9" s="16" t="s">
        <v>207</v>
      </c>
      <c r="D9" s="17" t="s">
        <v>217</v>
      </c>
      <c r="E9" s="17" t="s">
        <v>211</v>
      </c>
      <c r="F9" s="17" t="s">
        <v>218</v>
      </c>
      <c r="G9" s="17" t="s">
        <v>211</v>
      </c>
      <c r="H9" s="17" t="s">
        <v>219</v>
      </c>
      <c r="I9" s="17" t="s">
        <v>220</v>
      </c>
      <c r="J9" s="16" t="s">
        <v>221</v>
      </c>
      <c r="K9" s="23" t="s">
        <v>222</v>
      </c>
      <c r="L9" s="17" t="s">
        <v>223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1"/>
  <sheetViews>
    <sheetView workbookViewId="0"/>
  </sheetViews>
  <sheetFormatPr defaultRowHeight="14.4" x14ac:dyDescent="0.3"/>
  <cols>
    <col min="1" max="1" width="14" customWidth="1"/>
    <col min="2" max="2" width="12" customWidth="1"/>
    <col min="3" max="3" width="24" customWidth="1"/>
    <col min="4" max="4" width="26" customWidth="1"/>
    <col min="5" max="5" width="16" customWidth="1"/>
    <col min="6" max="6" width="18" customWidth="1"/>
    <col min="7" max="7" width="22" customWidth="1"/>
    <col min="8" max="8" width="24" customWidth="1"/>
    <col min="9" max="9" width="60" customWidth="1"/>
  </cols>
  <sheetData>
    <row r="1" spans="1:9" ht="17.399999999999999" x14ac:dyDescent="0.3">
      <c r="A1" s="18" t="s">
        <v>224</v>
      </c>
    </row>
    <row r="2" spans="1:9" x14ac:dyDescent="0.3">
      <c r="A2" s="19" t="s">
        <v>225</v>
      </c>
    </row>
    <row r="4" spans="1:9" x14ac:dyDescent="0.3">
      <c r="A4" s="20" t="s">
        <v>226</v>
      </c>
      <c r="B4" s="20" t="s">
        <v>27</v>
      </c>
      <c r="C4" s="20" t="s">
        <v>165</v>
      </c>
      <c r="D4" s="20" t="s">
        <v>227</v>
      </c>
      <c r="E4" s="20" t="s">
        <v>228</v>
      </c>
      <c r="F4" s="20" t="s">
        <v>229</v>
      </c>
      <c r="G4" s="20" t="s">
        <v>230</v>
      </c>
      <c r="H4" s="20" t="s">
        <v>231</v>
      </c>
      <c r="I4" s="20" t="s">
        <v>232</v>
      </c>
    </row>
    <row r="5" spans="1:9" ht="24" x14ac:dyDescent="0.3">
      <c r="A5" s="15" t="s">
        <v>233</v>
      </c>
      <c r="B5" s="15" t="s">
        <v>34</v>
      </c>
      <c r="C5" s="17" t="s">
        <v>234</v>
      </c>
      <c r="D5" s="17" t="s">
        <v>235</v>
      </c>
      <c r="E5" s="16" t="s">
        <v>68</v>
      </c>
      <c r="F5" s="16" t="s">
        <v>16</v>
      </c>
      <c r="G5" s="17" t="s">
        <v>236</v>
      </c>
      <c r="H5" s="17" t="s">
        <v>20</v>
      </c>
      <c r="I5" s="17" t="s">
        <v>237</v>
      </c>
    </row>
    <row r="6" spans="1:9" ht="24" x14ac:dyDescent="0.3">
      <c r="A6" s="15" t="s">
        <v>238</v>
      </c>
      <c r="B6" s="15" t="s">
        <v>42</v>
      </c>
      <c r="C6" s="17" t="s">
        <v>239</v>
      </c>
      <c r="D6" s="17" t="s">
        <v>240</v>
      </c>
      <c r="E6" s="16" t="s">
        <v>68</v>
      </c>
      <c r="F6" s="16" t="s">
        <v>241</v>
      </c>
      <c r="G6" s="17" t="s">
        <v>242</v>
      </c>
      <c r="H6" s="17" t="s">
        <v>243</v>
      </c>
      <c r="I6" s="17" t="s">
        <v>244</v>
      </c>
    </row>
    <row r="7" spans="1:9" ht="24" x14ac:dyDescent="0.3">
      <c r="A7" s="15" t="s">
        <v>245</v>
      </c>
      <c r="B7" s="15" t="s">
        <v>50</v>
      </c>
      <c r="C7" s="17" t="s">
        <v>246</v>
      </c>
      <c r="D7" s="17" t="s">
        <v>247</v>
      </c>
      <c r="E7" s="16" t="s">
        <v>68</v>
      </c>
      <c r="F7" s="16" t="s">
        <v>241</v>
      </c>
      <c r="G7" s="17" t="s">
        <v>242</v>
      </c>
      <c r="H7" s="17" t="s">
        <v>26</v>
      </c>
      <c r="I7" s="17" t="s">
        <v>248</v>
      </c>
    </row>
    <row r="8" spans="1:9" ht="24" x14ac:dyDescent="0.3">
      <c r="A8" s="15" t="s">
        <v>249</v>
      </c>
      <c r="B8" s="15" t="s">
        <v>34</v>
      </c>
      <c r="C8" s="17" t="s">
        <v>234</v>
      </c>
      <c r="D8" s="17" t="s">
        <v>250</v>
      </c>
      <c r="E8" s="16" t="s">
        <v>16</v>
      </c>
      <c r="F8" s="16" t="s">
        <v>251</v>
      </c>
      <c r="G8" s="17" t="s">
        <v>236</v>
      </c>
      <c r="H8" s="17" t="s">
        <v>20</v>
      </c>
      <c r="I8" s="17" t="s">
        <v>252</v>
      </c>
    </row>
    <row r="9" spans="1:9" ht="24" x14ac:dyDescent="0.3">
      <c r="A9" s="15" t="s">
        <v>253</v>
      </c>
      <c r="B9" s="15" t="s">
        <v>34</v>
      </c>
      <c r="C9" s="17" t="s">
        <v>234</v>
      </c>
      <c r="D9" s="24" t="s">
        <v>254</v>
      </c>
      <c r="E9" s="16" t="s">
        <v>251</v>
      </c>
      <c r="F9" s="16" t="s">
        <v>39</v>
      </c>
      <c r="G9" s="17" t="s">
        <v>236</v>
      </c>
      <c r="H9" s="17" t="s">
        <v>255</v>
      </c>
      <c r="I9" s="17" t="s">
        <v>256</v>
      </c>
    </row>
    <row r="10" spans="1:9" ht="24" x14ac:dyDescent="0.3">
      <c r="A10" s="15" t="s">
        <v>257</v>
      </c>
      <c r="B10" s="15" t="s">
        <v>63</v>
      </c>
      <c r="C10" s="17" t="s">
        <v>258</v>
      </c>
      <c r="D10" s="25" t="s">
        <v>259</v>
      </c>
      <c r="E10" s="16" t="s">
        <v>68</v>
      </c>
      <c r="F10" s="16" t="s">
        <v>260</v>
      </c>
      <c r="G10" s="17" t="s">
        <v>26</v>
      </c>
      <c r="H10" s="17" t="s">
        <v>243</v>
      </c>
      <c r="I10" s="17" t="s">
        <v>261</v>
      </c>
    </row>
    <row r="11" spans="1:9" ht="24" x14ac:dyDescent="0.3">
      <c r="A11" s="15" t="s">
        <v>262</v>
      </c>
      <c r="B11" s="15" t="s">
        <v>42</v>
      </c>
      <c r="C11" s="17" t="s">
        <v>239</v>
      </c>
      <c r="D11" s="26" t="s">
        <v>263</v>
      </c>
      <c r="E11" s="16" t="s">
        <v>241</v>
      </c>
      <c r="F11" s="16" t="s">
        <v>264</v>
      </c>
      <c r="G11" s="17" t="s">
        <v>265</v>
      </c>
      <c r="H11" s="17" t="s">
        <v>243</v>
      </c>
      <c r="I11" s="17" t="s">
        <v>266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7"/>
  <sheetViews>
    <sheetView workbookViewId="0"/>
  </sheetViews>
  <sheetFormatPr defaultRowHeight="14.4" x14ac:dyDescent="0.3"/>
  <cols>
    <col min="1" max="1" width="14" customWidth="1"/>
    <col min="2" max="2" width="26" customWidth="1"/>
    <col min="3" max="3" width="36" customWidth="1"/>
    <col min="4" max="4" width="48" customWidth="1"/>
    <col min="5" max="5" width="26" customWidth="1"/>
    <col min="6" max="7" width="14" customWidth="1"/>
    <col min="8" max="8" width="16" customWidth="1"/>
  </cols>
  <sheetData>
    <row r="1" spans="1:8" ht="17.399999999999999" x14ac:dyDescent="0.3">
      <c r="A1" s="18" t="s">
        <v>267</v>
      </c>
    </row>
    <row r="2" spans="1:8" x14ac:dyDescent="0.3">
      <c r="A2" s="19" t="s">
        <v>268</v>
      </c>
    </row>
    <row r="4" spans="1:8" x14ac:dyDescent="0.3">
      <c r="A4" s="27" t="s">
        <v>269</v>
      </c>
    </row>
    <row r="5" spans="1:8" ht="37.799999999999997" x14ac:dyDescent="0.3">
      <c r="A5" s="28" t="s">
        <v>270</v>
      </c>
      <c r="B5" s="15">
        <v>5</v>
      </c>
      <c r="D5" s="28" t="s">
        <v>271</v>
      </c>
      <c r="E5" s="15">
        <v>3</v>
      </c>
    </row>
    <row r="6" spans="1:8" ht="37.799999999999997" x14ac:dyDescent="0.3">
      <c r="A6" s="28" t="s">
        <v>272</v>
      </c>
      <c r="B6" s="15">
        <v>1</v>
      </c>
      <c r="D6" s="28" t="s">
        <v>273</v>
      </c>
      <c r="E6" s="22">
        <v>2</v>
      </c>
    </row>
    <row r="7" spans="1:8" ht="37.799999999999997" x14ac:dyDescent="0.3">
      <c r="A7" s="28" t="s">
        <v>274</v>
      </c>
      <c r="B7" s="15">
        <v>3</v>
      </c>
      <c r="D7" s="28" t="s">
        <v>275</v>
      </c>
      <c r="E7" s="23">
        <v>3</v>
      </c>
    </row>
    <row r="8" spans="1:8" ht="37.799999999999997" x14ac:dyDescent="0.3">
      <c r="A8" s="28" t="s">
        <v>276</v>
      </c>
      <c r="B8" s="15">
        <v>1</v>
      </c>
      <c r="D8" s="28" t="s">
        <v>277</v>
      </c>
      <c r="E8" s="15">
        <v>1</v>
      </c>
    </row>
    <row r="11" spans="1:8" x14ac:dyDescent="0.3">
      <c r="A11" s="27" t="s">
        <v>278</v>
      </c>
    </row>
    <row r="13" spans="1:8" x14ac:dyDescent="0.3">
      <c r="A13" s="20" t="s">
        <v>279</v>
      </c>
      <c r="B13" s="20" t="s">
        <v>280</v>
      </c>
      <c r="C13" s="20" t="s">
        <v>281</v>
      </c>
      <c r="D13" s="20" t="s">
        <v>282</v>
      </c>
      <c r="E13" s="20" t="s">
        <v>32</v>
      </c>
      <c r="F13" s="20" t="s">
        <v>283</v>
      </c>
      <c r="G13" s="20" t="s">
        <v>284</v>
      </c>
      <c r="H13" s="20" t="s">
        <v>15</v>
      </c>
    </row>
    <row r="14" spans="1:8" ht="36" x14ac:dyDescent="0.3">
      <c r="A14" s="15" t="s">
        <v>285</v>
      </c>
      <c r="B14" s="17" t="s">
        <v>286</v>
      </c>
      <c r="C14" s="17" t="s">
        <v>287</v>
      </c>
      <c r="D14" s="17" t="s">
        <v>288</v>
      </c>
      <c r="E14" s="17" t="s">
        <v>289</v>
      </c>
      <c r="F14" s="16" t="s">
        <v>290</v>
      </c>
      <c r="G14" s="23" t="s">
        <v>291</v>
      </c>
      <c r="H14" s="22" t="s">
        <v>292</v>
      </c>
    </row>
    <row r="15" spans="1:8" ht="36" x14ac:dyDescent="0.3">
      <c r="A15" s="15" t="s">
        <v>293</v>
      </c>
      <c r="B15" s="17" t="s">
        <v>294</v>
      </c>
      <c r="C15" s="17" t="s">
        <v>295</v>
      </c>
      <c r="D15" s="17" t="s">
        <v>296</v>
      </c>
      <c r="E15" s="17" t="s">
        <v>26</v>
      </c>
      <c r="F15" s="16" t="s">
        <v>297</v>
      </c>
      <c r="G15" s="22" t="s">
        <v>298</v>
      </c>
      <c r="H15" s="29" t="s">
        <v>299</v>
      </c>
    </row>
    <row r="16" spans="1:8" ht="24" x14ac:dyDescent="0.3">
      <c r="A16" s="15" t="s">
        <v>300</v>
      </c>
      <c r="B16" s="17" t="s">
        <v>301</v>
      </c>
      <c r="C16" s="17" t="s">
        <v>302</v>
      </c>
      <c r="D16" s="17" t="s">
        <v>303</v>
      </c>
      <c r="E16" s="17" t="s">
        <v>304</v>
      </c>
      <c r="F16" s="16" t="s">
        <v>305</v>
      </c>
      <c r="G16" s="23" t="s">
        <v>291</v>
      </c>
      <c r="H16" s="22" t="s">
        <v>292</v>
      </c>
    </row>
    <row r="17" spans="1:8" ht="24" x14ac:dyDescent="0.3">
      <c r="A17" s="15" t="s">
        <v>306</v>
      </c>
      <c r="B17" s="17" t="s">
        <v>307</v>
      </c>
      <c r="C17" s="17" t="s">
        <v>308</v>
      </c>
      <c r="D17" s="17" t="s">
        <v>309</v>
      </c>
      <c r="E17" s="17" t="s">
        <v>20</v>
      </c>
      <c r="F17" s="16" t="s">
        <v>310</v>
      </c>
      <c r="G17" s="22" t="s">
        <v>298</v>
      </c>
      <c r="H17" s="29" t="s">
        <v>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VERSION-CONTROL</vt:lpstr>
      <vt:lpstr>REGISTRY</vt:lpstr>
      <vt:lpstr>SCORING-MODEL</vt:lpstr>
      <vt:lpstr>SELECTION-SCORES</vt:lpstr>
      <vt:lpstr>VERIFICATION-STATUS</vt:lpstr>
      <vt:lpstr>APPROVAL-WORKFLOW</vt:lpstr>
      <vt:lpstr>CHANGE-LOG</vt:lpstr>
      <vt:lpstr>RISK-SUMMARY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Rity Shree</cp:lastModifiedBy>
  <cp:revision>0</cp:revision>
  <dcterms:created xsi:type="dcterms:W3CDTF">2026-09-13T08:59:15Z</dcterms:created>
  <dcterms:modified xsi:type="dcterms:W3CDTF">2026-09-14T13:35:56Z</dcterms:modified>
  <dc:language>en-US</dc:language>
</cp:coreProperties>
</file>